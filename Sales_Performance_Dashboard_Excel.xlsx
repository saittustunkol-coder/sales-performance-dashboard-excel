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it/Desktop/"/>
    </mc:Choice>
  </mc:AlternateContent>
  <xr:revisionPtr revIDLastSave="0" documentId="8_{9AD34D1E-6046-CE42-A9EA-86C487E7C36C}" xr6:coauthVersionLast="47" xr6:coauthVersionMax="47" xr10:uidLastSave="{00000000-0000-0000-0000-000000000000}"/>
  <bookViews>
    <workbookView xWindow="13640" yWindow="340" windowWidth="19860" windowHeight="20480" activeTab="3" xr2:uid="{EC406958-365B-9A49-9F1D-300F9F0C7A7E}"/>
  </bookViews>
  <sheets>
    <sheet name="Cleaned Data" sheetId="1" r:id="rId1"/>
    <sheet name="Pivot Tables" sheetId="2" r:id="rId2"/>
    <sheet name="Dashboard" sheetId="3" r:id="rId3"/>
    <sheet name="Insights" sheetId="4" r:id="rId4"/>
  </sheets>
  <definedNames>
    <definedName name="_xlnm._FilterDatabase" localSheetId="1" hidden="1">'Pivot Tables'!$E$3:$F$25</definedName>
  </definedNames>
  <calcPr calcId="18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2" i="3"/>
  <c r="A2" i="3"/>
</calcChain>
</file>

<file path=xl/sharedStrings.xml><?xml version="1.0" encoding="utf-8"?>
<sst xmlns="http://schemas.openxmlformats.org/spreadsheetml/2006/main" count="1262" uniqueCount="277">
  <si>
    <t>Transaction ID</t>
  </si>
  <si>
    <t>Customer Name</t>
  </si>
  <si>
    <t>Country</t>
  </si>
  <si>
    <t>Date</t>
  </si>
  <si>
    <t>Product Category</t>
  </si>
  <si>
    <t>Amount</t>
  </si>
  <si>
    <t>Payment Status</t>
  </si>
  <si>
    <t>Sales Rep</t>
  </si>
  <si>
    <t>Notes</t>
  </si>
  <si>
    <t>T0001</t>
  </si>
  <si>
    <t>Charlotte Dupont</t>
  </si>
  <si>
    <t>Estonia</t>
  </si>
  <si>
    <t>Hardware</t>
  </si>
  <si>
    <t xml:space="preserve">Pending </t>
  </si>
  <si>
    <t>David</t>
  </si>
  <si>
    <t>T0002</t>
  </si>
  <si>
    <t>Olivia Clark</t>
  </si>
  <si>
    <t>Finland</t>
  </si>
  <si>
    <t>paid</t>
  </si>
  <si>
    <t>Anna</t>
  </si>
  <si>
    <t>T0003</t>
  </si>
  <si>
    <t>Ava Petrov</t>
  </si>
  <si>
    <t>Germany</t>
  </si>
  <si>
    <t>Software</t>
  </si>
  <si>
    <t>T0004</t>
  </si>
  <si>
    <t>Liam Brown</t>
  </si>
  <si>
    <t>Pending</t>
  </si>
  <si>
    <t>Mark</t>
  </si>
  <si>
    <t>T0005</t>
  </si>
  <si>
    <t>Sweden</t>
  </si>
  <si>
    <t>Subscription</t>
  </si>
  <si>
    <t>Elena</t>
  </si>
  <si>
    <t>T0006</t>
  </si>
  <si>
    <t>Sofia Rossi</t>
  </si>
  <si>
    <t>PAID</t>
  </si>
  <si>
    <t>Check data</t>
  </si>
  <si>
    <t>T0007</t>
  </si>
  <si>
    <t>Harper Jensen</t>
  </si>
  <si>
    <t>Norway</t>
  </si>
  <si>
    <t>Paid</t>
  </si>
  <si>
    <t>T0008</t>
  </si>
  <si>
    <t>John Smith</t>
  </si>
  <si>
    <t>Lithuania</t>
  </si>
  <si>
    <t>T0009</t>
  </si>
  <si>
    <t>T0010</t>
  </si>
  <si>
    <t>Poland</t>
  </si>
  <si>
    <t>Sara</t>
  </si>
  <si>
    <t>T0011</t>
  </si>
  <si>
    <t>Oliver Schmidt</t>
  </si>
  <si>
    <t>Support</t>
  </si>
  <si>
    <t>T0012</t>
  </si>
  <si>
    <t>Lucas Perez</t>
  </si>
  <si>
    <t>Peter</t>
  </si>
  <si>
    <t>T0013</t>
  </si>
  <si>
    <t>Mateo Costa</t>
  </si>
  <si>
    <t>Latvia</t>
  </si>
  <si>
    <t>T0014</t>
  </si>
  <si>
    <t>Amelia Novak</t>
  </si>
  <si>
    <t>T0015</t>
  </si>
  <si>
    <t>Maria Garcia</t>
  </si>
  <si>
    <t>Consulting</t>
  </si>
  <si>
    <t>T0016</t>
  </si>
  <si>
    <t>Failed</t>
  </si>
  <si>
    <t>T0017</t>
  </si>
  <si>
    <t>T0018</t>
  </si>
  <si>
    <t>T0019</t>
  </si>
  <si>
    <t>James Taylor</t>
  </si>
  <si>
    <t>T0020</t>
  </si>
  <si>
    <t>Isabella Silva</t>
  </si>
  <si>
    <t>T0021</t>
  </si>
  <si>
    <t>T0022</t>
  </si>
  <si>
    <t>T0023</t>
  </si>
  <si>
    <t>T0024</t>
  </si>
  <si>
    <t>T0025</t>
  </si>
  <si>
    <t>Elijah Ivanov</t>
  </si>
  <si>
    <t>T0026</t>
  </si>
  <si>
    <t>Ali John</t>
  </si>
  <si>
    <t>T0027</t>
  </si>
  <si>
    <t>Ethan Kovacs</t>
  </si>
  <si>
    <t>T0028</t>
  </si>
  <si>
    <t>T0029</t>
  </si>
  <si>
    <t>T0030</t>
  </si>
  <si>
    <t>T0031</t>
  </si>
  <si>
    <t>T0032</t>
  </si>
  <si>
    <t>Mia Novak</t>
  </si>
  <si>
    <t>T0033</t>
  </si>
  <si>
    <t>T0034</t>
  </si>
  <si>
    <t>T0035</t>
  </si>
  <si>
    <t>T0036</t>
  </si>
  <si>
    <t>T0037</t>
  </si>
  <si>
    <t>Emma Wilson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</si>
  <si>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</si>
  <si>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</si>
  <si>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</si>
  <si>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</si>
  <si>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</si>
  <si>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</si>
  <si>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</si>
  <si>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</si>
  <si>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Noah Martin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</si>
  <si>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</si>
  <si>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</si>
  <si>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</si>
  <si>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</si>
  <si>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</si>
  <si>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</si>
  <si>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</si>
  <si>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</si>
  <si>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</si>
  <si>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</si>
  <si>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</si>
  <si>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</si>
  <si>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</si>
  <si>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</si>
  <si>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</si>
  <si>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</si>
  <si>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</si>
  <si>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</si>
  <si>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</si>
  <si>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</si>
  <si>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</si>
  <si>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</si>
  <si>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</si>
  <si>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</si>
  <si>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</si>
  <si>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</si>
  <si>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</si>
  <si>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</si>
  <si>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</si>
  <si>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</si>
  <si>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</si>
  <si>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</si>
  <si>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</si>
  <si>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</si>
  <si>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</si>
  <si>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</si>
  <si>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</si>
  <si>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</si>
  <si>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</si>
  <si>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</si>
  <si>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</si>
  <si>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</si>
  <si>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</si>
  <si>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</si>
  <si>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</si>
  <si>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</si>
  <si>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</si>
  <si>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</si>
  <si>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</si>
  <si>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</si>
  <si>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</si>
  <si>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</si>
  <si>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</si>
  <si>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</si>
  <si>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</si>
  <si>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</si>
  <si>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</si>
  <si>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</si>
  <si>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</si>
  <si>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</si>
  <si>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</si>
  <si>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</si>
  <si>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</si>
  <si>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</si>
  <si>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</si>
  <si>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</si>
  <si>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</si>
  <si>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</si>
  <si>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</si>
  <si>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</si>
  <si>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</si>
  <si>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</si>
  <si>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</si>
  <si>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</si>
  <si>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</si>
  <si>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</si>
  <si>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</si>
  <si>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</si>
  <si>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</si>
  <si>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</si>
  <si>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</si>
  <si>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</si>
  <si>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</si>
  <si>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</si>
  <si>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</si>
  <si>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</si>
  <si>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</si>
  <si>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</si>
  <si>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</si>
  <si>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</si>
  <si>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</si>
  <si>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</si>
  <si>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</si>
  <si>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</si>
  <si>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</si>
  <si>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</si>
  <si>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</si>
  <si>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</si>
  <si>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</si>
  <si>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</si>
  <si>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</si>
  <si>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</si>
  <si>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</si>
  <si>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</si>
  <si>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</si>
  <si>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</si>
  <si>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</si>
  <si>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</si>
  <si>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</si>
  <si>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</si>
  <si>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</si>
  <si>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</si>
  <si>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</si>
  <si>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</si>
  <si>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</si>
  <si>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</si>
  <si>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</si>
  <si>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</si>
  <si>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</si>
  <si>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</si>
  <si>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</si>
  <si>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</si>
  <si>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</si>
  <si>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</si>
  <si>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</si>
  <si>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</si>
  <si>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</si>
  <si>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</si>
  <si>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</si>
  <si>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</si>
  <si>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</si>
  <si>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</si>
  <si>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</si>
  <si>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</si>
  <si>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</si>
  <si>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</si>
  <si>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</si>
  <si>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</si>
  <si>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</si>
  <si>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</si>
  <si>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</si>
  <si>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</si>
  <si>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</si>
  <si>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</si>
  <si>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</si>
  <si>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</si>
  <si>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</si>
  <si>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</si>
  <si>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</si>
  <si>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</si>
  <si>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</si>
  <si>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</si>
  <si>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</si>
  <si>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</si>
  <si>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</si>
  <si>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Grand Total</t>
  </si>
  <si>
    <t>Jan</t>
  </si>
  <si>
    <t>Feb</t>
  </si>
  <si>
    <t>Mar</t>
  </si>
  <si>
    <t>Apr</t>
  </si>
  <si>
    <t>May</t>
  </si>
  <si>
    <t>Sum of Amount</t>
  </si>
  <si>
    <t>Monthly Revenue Trend</t>
  </si>
  <si>
    <t>Products by Renevue</t>
  </si>
  <si>
    <t>Revenue by Country</t>
  </si>
  <si>
    <t>Revenue by Sales Representative</t>
  </si>
  <si>
    <t>(blank)</t>
  </si>
  <si>
    <t>Total Revenue</t>
  </si>
  <si>
    <t>Total Orders</t>
  </si>
  <si>
    <t>Average Order Value</t>
  </si>
  <si>
    <t>Total Customers</t>
  </si>
  <si>
    <t>Months</t>
  </si>
  <si>
    <t>Customers</t>
  </si>
  <si>
    <t>Top 10 Customers by Revenue</t>
  </si>
  <si>
    <t>Representative</t>
  </si>
  <si>
    <t>Products</t>
  </si>
  <si>
    <r>
      <rPr>
        <b/>
        <sz val="18"/>
        <color theme="1"/>
        <rFont val="Aptos Narrow (Body)"/>
      </rPr>
      <t>Sales Performance Dashboard – Key Insights</t>
    </r>
    <r>
      <rPr>
        <sz val="12"/>
        <color theme="1"/>
        <rFont val="Aptos Narrow"/>
        <family val="2"/>
        <scheme val="minor"/>
      </rPr>
      <t xml:space="preserve">
Data Cleaning Summary
• Reviewed the dataset for missing values and inconsistent entries.
• Standardized fields such as payment status, country, and product categories.
• Validated numerical fields including quantity, unit price, and revenue.
• Created helper columns (Month, Month Number) to support trend analysis.
• Prepared a structured dataset for pivot analysis and dashboard reporting.
</t>
    </r>
    <r>
      <rPr>
        <b/>
        <sz val="16"/>
        <color theme="1"/>
        <rFont val="Aptos Narrow (Body)"/>
      </rPr>
      <t>Key Business Insights</t>
    </r>
    <r>
      <rPr>
        <sz val="12"/>
        <color theme="1"/>
        <rFont val="Aptos Narrow"/>
        <family val="2"/>
        <scheme val="minor"/>
      </rPr>
      <t xml:space="preserve">
• A small group of customers generated a significant portion of total revenue, indicating high dependency on key accounts.
• Monthly revenue trends showed fluctuations, with certain periods demonstrating stronger sales performance.
• Sales activity was concentrated in a limited number of countries, suggesting stronger market presence in selected regions.
• Revenue was unevenly distributed across products, with top-performing products contributing the majority of sales.
• Most transactions were successfully completed, while a smaller portion remained pending or failed, indicating potential areas for process improvement.
• Sales performance varied across representatives, with some contributors generating significantly higher revenue than others.
• Discount levels varied across transactions and may have influenced sales volume and revenue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</si>
</sst>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 (Body)"/>
    </font>
    <font>
      <b/>
      <sz val="18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14" fontId="1" fillId="0" borderId="2" xfId="0" applyNumberFormat="1" applyFont="1" applyBorder="1"/>
    <xf numFmtId="14" fontId="0" fillId="0" borderId="4" xfId="0" applyNumberFormat="1" applyBorder="1"/>
    <xf numFmtId="14" fontId="0" fillId="0" borderId="5" xfId="0" applyNumberFormat="1" applyBorder="1"/>
    <xf numFmtId="14" fontId="0" fillId="0" borderId="0" xfId="0" applyNumberFormat="1"/>
    <xf numFmtId="2" fontId="1" fillId="0" borderId="2" xfId="0" applyNumberFormat="1" applyFon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0" fontId="2" fillId="0" borderId="0" xfId="0" applyFont="1"/>
    <xf numFmtId="0" fontId="2" fillId="0" borderId="5" xfId="0" pivotButton="1" applyFont="1" applyBorder="1"/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5" xfId="0" applyNumberFormat="1" applyFont="1" applyBorder="1"/>
    <xf numFmtId="0" fontId="5" fillId="0" borderId="5" xfId="0" pivotButton="1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5" xfId="0" applyNumberFormat="1" applyFont="1" applyBorder="1"/>
    <xf numFmtId="0" fontId="3" fillId="0" borderId="5" xfId="0" applyNumberFormat="1" applyFont="1" applyBorder="1"/>
    <xf numFmtId="0" fontId="4" fillId="0" borderId="5" xfId="0" pivotButton="1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5" xfId="0" applyNumberFormat="1" applyFont="1" applyBorder="1"/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76"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20"/>
      </font>
    </dxf>
    <dxf>
      <font>
        <sz val="16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8"/>
      </font>
    </dxf>
    <dxf>
      <font>
        <sz val="16"/>
      </font>
    </dxf>
    <dxf>
      <font>
        <sz val="20"/>
      </font>
    </dxf>
    <dxf>
      <font>
        <sz val="22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Mar</c:v>
                </c:pt>
                <c:pt idx="1">
                  <c:v>Jan</c:v>
                </c:pt>
                <c:pt idx="2">
                  <c:v>Apr</c:v>
                </c:pt>
                <c:pt idx="3">
                  <c:v>Feb</c:v>
                </c:pt>
                <c:pt idx="4">
                  <c:v>May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75739.859999999986</c:v>
                </c:pt>
                <c:pt idx="1">
                  <c:v>48241.399999999987</c:v>
                </c:pt>
                <c:pt idx="2">
                  <c:v>36463.69</c:v>
                </c:pt>
                <c:pt idx="3">
                  <c:v>25498.630000000008</c:v>
                </c:pt>
                <c:pt idx="4">
                  <c:v>1510.91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0-964B-8CF8-2FA77EA4D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5932928"/>
        <c:axId val="365763376"/>
      </c:barChart>
      <c:catAx>
        <c:axId val="3659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365763376"/>
        <c:crosses val="autoZero"/>
        <c:auto val="1"/>
        <c:lblAlgn val="ctr"/>
        <c:lblOffset val="100"/>
        <c:noMultiLvlLbl val="0"/>
      </c:catAx>
      <c:valAx>
        <c:axId val="3657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3659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'Pivot Tables'!$A$30:$A$35</c:f>
              <c:strCache>
                <c:ptCount val="5"/>
                <c:pt idx="0">
                  <c:v>Subscription</c:v>
                </c:pt>
                <c:pt idx="1">
                  <c:v>Software</c:v>
                </c:pt>
                <c:pt idx="2">
                  <c:v>Support</c:v>
                </c:pt>
                <c:pt idx="3">
                  <c:v>Consulting</c:v>
                </c:pt>
                <c:pt idx="4">
                  <c:v>Hardware</c:v>
                </c:pt>
              </c:strCache>
            </c:strRef>
          </c:cat>
          <c:val>
            <c:numRef>
              <c:f>'Pivot Tables'!$B$30:$B$35</c:f>
              <c:numCache>
                <c:formatCode>General</c:formatCode>
                <c:ptCount val="5"/>
                <c:pt idx="0">
                  <c:v>41128.310000000005</c:v>
                </c:pt>
                <c:pt idx="1">
                  <c:v>38666.420000000006</c:v>
                </c:pt>
                <c:pt idx="2">
                  <c:v>37924.130000000005</c:v>
                </c:pt>
                <c:pt idx="3">
                  <c:v>35764.97</c:v>
                </c:pt>
                <c:pt idx="4">
                  <c:v>33970.659999999996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9-FE4A-A509-29291D133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Tables'!$F$20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'Pivot Tables'!$E$21:$E$29</c:f>
              <c:strCache>
                <c:ptCount val="8"/>
                <c:pt idx="0">
                  <c:v>Germany</c:v>
                </c:pt>
                <c:pt idx="1">
                  <c:v>Finland</c:v>
                </c:pt>
                <c:pt idx="2">
                  <c:v>Lithuania</c:v>
                </c:pt>
                <c:pt idx="3">
                  <c:v>Norway</c:v>
                </c:pt>
                <c:pt idx="4">
                  <c:v>Estonia</c:v>
                </c:pt>
                <c:pt idx="5">
                  <c:v>Sweden</c:v>
                </c:pt>
                <c:pt idx="6">
                  <c:v>Latvia</c:v>
                </c:pt>
                <c:pt idx="7">
                  <c:v>Poland</c:v>
                </c:pt>
              </c:strCache>
            </c:strRef>
          </c:cat>
          <c:val>
            <c:numRef>
              <c:f>'Pivot Tables'!$F$21:$F$29</c:f>
              <c:numCache>
                <c:formatCode>General</c:formatCode>
                <c:ptCount val="8"/>
                <c:pt idx="0">
                  <c:v>28987.170000000002</c:v>
                </c:pt>
                <c:pt idx="1">
                  <c:v>28177.520000000004</c:v>
                </c:pt>
                <c:pt idx="2">
                  <c:v>27269.580000000005</c:v>
                </c:pt>
                <c:pt idx="3">
                  <c:v>26481.41</c:v>
                </c:pt>
                <c:pt idx="4">
                  <c:v>23112.870000000003</c:v>
                </c:pt>
                <c:pt idx="5">
                  <c:v>22282.300000000007</c:v>
                </c:pt>
                <c:pt idx="6">
                  <c:v>18043.190000000002</c:v>
                </c:pt>
                <c:pt idx="7">
                  <c:v>13100.45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6-1748-ABEB-57C581A4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[Sales_Performance_Dashboard_Excel.xlsx]Pivot Tables!PivotTable10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Tables'!$E$48:$E$55</c:f>
              <c:strCache>
                <c:ptCount val="7"/>
                <c:pt idx="0">
                  <c:v>Peter</c:v>
                </c:pt>
                <c:pt idx="1">
                  <c:v>Sara</c:v>
                </c:pt>
                <c:pt idx="2">
                  <c:v>Elena</c:v>
                </c:pt>
                <c:pt idx="3">
                  <c:v>Anna</c:v>
                </c:pt>
                <c:pt idx="4">
                  <c:v>Mark</c:v>
                </c:pt>
                <c:pt idx="5">
                  <c:v>(blank)</c:v>
                </c:pt>
                <c:pt idx="6">
                  <c:v>David</c:v>
                </c:pt>
              </c:strCache>
            </c:strRef>
          </c:cat>
          <c:val>
            <c:numRef>
              <c:f>'Pivot Tables'!$F$48:$F$55</c:f>
              <c:numCache>
                <c:formatCode>General</c:formatCode>
                <c:ptCount val="7"/>
                <c:pt idx="0">
                  <c:v>35870.030000000006</c:v>
                </c:pt>
                <c:pt idx="1">
                  <c:v>35769.340000000004</c:v>
                </c:pt>
                <c:pt idx="2">
                  <c:v>29322.580000000005</c:v>
                </c:pt>
                <c:pt idx="3">
                  <c:v>25141.77</c:v>
                </c:pt>
                <c:pt idx="4">
                  <c:v>20763.270000000004</c:v>
                </c:pt>
                <c:pt idx="5">
                  <c:v>20616.300000000003</c:v>
                </c:pt>
                <c:pt idx="6">
                  <c:v>19971.200000000004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B-9D45-8F23-EEC05D3F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481440"/>
        <c:axId val="377782880"/>
      </c:barChart>
      <c:catAx>
        <c:axId val="36948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377782880"/>
        <c:crosses val="autoZero"/>
        <c:auto val="1"/>
        <c:lblAlgn val="ctr"/>
        <c:lblOffset val="100"/>
        <c:noMultiLvlLbl val="0"/>
      </c:catAx>
      <c:valAx>
        <c:axId val="3777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3694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Mar</c:v>
              </c:pt>
              <c:pt idx="1">
                <c:v>Jan</c:v>
              </c:pt>
              <c:pt idx="2">
                <c:v>Apr</c:v>
              </c:pt>
              <c:pt idx="3">
                <c:v>Feb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75739.859999999986</c:v>
              </c:pt>
              <c:pt idx="1">
                <c:v>48241.399999999987</c:v>
              </c:pt>
              <c:pt idx="2">
                <c:v>36463.69</c:v>
              </c:pt>
              <c:pt idx="3">
                <c:v>25498.630000000008</c:v>
              </c:pt>
              <c:pt idx="4">
                <c:v>1510.91</c:v>
              </c:pt>
            </c:numLit>
          </c:val>
          <c:extLst>
            <c:ext xmlns:c16="http://schemas.microsoft.com/office/drawing/2014/chart" uri="{C3380CC4-5D6E-409C-BE32-E72D297353CC}">
              <c16:uniqueId val="{00000000-34E8-EE4B-AC8C-0655ECFA3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973632"/>
        <c:axId val="440460560"/>
      </c:barChart>
      <c:catAx>
        <c:axId val="3689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40460560"/>
        <c:crosses val="autoZero"/>
        <c:auto val="1"/>
        <c:lblAlgn val="ctr"/>
        <c:lblOffset val="100"/>
        <c:noMultiLvlLbl val="0"/>
      </c:catAx>
      <c:valAx>
        <c:axId val="4404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3689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LV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Products by</a:t>
            </a:r>
            <a:r>
              <a:rPr lang="en-US" sz="1600" b="1" baseline="0">
                <a:solidFill>
                  <a:schemeClr val="tx1"/>
                </a:solidFill>
              </a:rPr>
              <a:t> Revenue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Lit>
              <c:ptCount val="5"/>
              <c:pt idx="0">
                <c:v>Subscription</c:v>
              </c:pt>
              <c:pt idx="1">
                <c:v>Software</c:v>
              </c:pt>
              <c:pt idx="2">
                <c:v>Support</c:v>
              </c:pt>
              <c:pt idx="3">
                <c:v>Consulting</c:v>
              </c:pt>
              <c:pt idx="4">
                <c:v>Hardware</c:v>
              </c:pt>
            </c:strLit>
          </c:cat>
          <c:val>
            <c:numLit>
              <c:formatCode>General</c:formatCode>
              <c:ptCount val="5"/>
              <c:pt idx="0">
                <c:v>41128.310000000005</c:v>
              </c:pt>
              <c:pt idx="1">
                <c:v>38666.420000000006</c:v>
              </c:pt>
              <c:pt idx="2">
                <c:v>37924.130000000005</c:v>
              </c:pt>
              <c:pt idx="3">
                <c:v>35764.97</c:v>
              </c:pt>
              <c:pt idx="4">
                <c:v>33970.659999999996</c:v>
              </c:pt>
            </c:numLit>
          </c:val>
          <c:extLst>
            <c:ext xmlns:c16="http://schemas.microsoft.com/office/drawing/2014/chart" uri="{C3380CC4-5D6E-409C-BE32-E72D297353CC}">
              <c16:uniqueId val="{00000000-03DB-C34A-9245-F14905EB3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Lucas Perez</c:v>
              </c:pt>
              <c:pt idx="1">
                <c:v>Ali John</c:v>
              </c:pt>
              <c:pt idx="2">
                <c:v>Charlotte Dupont</c:v>
              </c:pt>
              <c:pt idx="3">
                <c:v>Ethan Kovacs</c:v>
              </c:pt>
              <c:pt idx="4">
                <c:v>Olivia Clark</c:v>
              </c:pt>
              <c:pt idx="5">
                <c:v>Isabella Silva</c:v>
              </c:pt>
              <c:pt idx="6">
                <c:v>Sofia Rossi</c:v>
              </c:pt>
              <c:pt idx="7">
                <c:v>Ava Petrov</c:v>
              </c:pt>
              <c:pt idx="8">
                <c:v>Elijah Ivanov</c:v>
              </c:pt>
              <c:pt idx="9">
                <c:v>Oliver Schmidt</c:v>
              </c:pt>
            </c:strLit>
          </c:cat>
          <c:val>
            <c:numLit>
              <c:formatCode>General</c:formatCode>
              <c:ptCount val="10"/>
              <c:pt idx="0">
                <c:v>17594.060000000001</c:v>
              </c:pt>
              <c:pt idx="1">
                <c:v>16205.230000000001</c:v>
              </c:pt>
              <c:pt idx="2">
                <c:v>13452.06</c:v>
              </c:pt>
              <c:pt idx="3">
                <c:v>13131.5</c:v>
              </c:pt>
              <c:pt idx="4">
                <c:v>12048.990000000002</c:v>
              </c:pt>
              <c:pt idx="5">
                <c:v>11540.51</c:v>
              </c:pt>
              <c:pt idx="6">
                <c:v>11006.789999999997</c:v>
              </c:pt>
              <c:pt idx="7">
                <c:v>10775.350000000002</c:v>
              </c:pt>
              <c:pt idx="8">
                <c:v>10048.5</c:v>
              </c:pt>
              <c:pt idx="9">
                <c:v>9460.2800000000007</c:v>
              </c:pt>
            </c:numLit>
          </c:val>
          <c:extLst>
            <c:ext xmlns:c16="http://schemas.microsoft.com/office/drawing/2014/chart" uri="{C3380CC4-5D6E-409C-BE32-E72D297353CC}">
              <c16:uniqueId val="{00000000-0E2E-B248-B4F3-0F4A2CA3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438736"/>
        <c:axId val="440917136"/>
      </c:barChart>
      <c:catAx>
        <c:axId val="4414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40917136"/>
        <c:crosses val="autoZero"/>
        <c:auto val="1"/>
        <c:lblAlgn val="ctr"/>
        <c:lblOffset val="100"/>
        <c:noMultiLvlLbl val="0"/>
      </c:catAx>
      <c:valAx>
        <c:axId val="4409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414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LV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Transactions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Lit>
              <c:ptCount val="8"/>
              <c:pt idx="0">
                <c:v>Germany</c:v>
              </c:pt>
              <c:pt idx="1">
                <c:v>Finland</c:v>
              </c:pt>
              <c:pt idx="2">
                <c:v>Lithuania</c:v>
              </c:pt>
              <c:pt idx="3">
                <c:v>Norway</c:v>
              </c:pt>
              <c:pt idx="4">
                <c:v>Estonia</c:v>
              </c:pt>
              <c:pt idx="5">
                <c:v>Sweden</c:v>
              </c:pt>
              <c:pt idx="6">
                <c:v>Latvia</c:v>
              </c:pt>
              <c:pt idx="7">
                <c:v>Poland</c:v>
              </c:pt>
            </c:strLit>
          </c:cat>
          <c:val>
            <c:numLit>
              <c:formatCode>General</c:formatCode>
              <c:ptCount val="8"/>
              <c:pt idx="0">
                <c:v>28987.170000000002</c:v>
              </c:pt>
              <c:pt idx="1">
                <c:v>28177.520000000004</c:v>
              </c:pt>
              <c:pt idx="2">
                <c:v>27269.580000000005</c:v>
              </c:pt>
              <c:pt idx="3">
                <c:v>26481.41</c:v>
              </c:pt>
              <c:pt idx="4">
                <c:v>23112.870000000003</c:v>
              </c:pt>
              <c:pt idx="5">
                <c:v>22282.300000000007</c:v>
              </c:pt>
              <c:pt idx="6">
                <c:v>18043.190000000002</c:v>
              </c:pt>
              <c:pt idx="7">
                <c:v>13100.45</c:v>
              </c:pt>
            </c:numLit>
          </c:val>
          <c:extLst>
            <c:ext xmlns:c16="http://schemas.microsoft.com/office/drawing/2014/chart" uri="{C3380CC4-5D6E-409C-BE32-E72D297353CC}">
              <c16:uniqueId val="{00000000-999E-6A46-826D-9DF968953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47237</xdr:colOff>
      <xdr:row>9</xdr:row>
      <xdr:rowOff>24936</xdr:rowOff>
    </xdr:from>
    <xdr:to>
      <xdr:col>2</xdr:col>
      <xdr:colOff>40887</xdr:colOff>
      <xdr:row>22</xdr:row>
      <xdr:rowOff>264068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1ABF7-41C8-18DD-429B-22C49D34C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68145</xdr:colOff>
      <xdr:row>34</xdr:row>
      <xdr:rowOff>339804</xdr:rowOff>
    </xdr:from>
    <xdr:to>
      <xdr:col>2</xdr:col>
      <xdr:colOff>46463</xdr:colOff>
      <xdr:row>48</xdr:row>
      <xdr:rowOff>124832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8A853-56A0-5509-FE91-90D3E130B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805366</xdr:colOff>
      <xdr:row>29</xdr:row>
      <xdr:rowOff>30046</xdr:rowOff>
    </xdr:from>
    <xdr:to>
      <xdr:col>6</xdr:col>
      <xdr:colOff>61951</xdr:colOff>
      <xdr:row>39</xdr:row>
      <xdr:rowOff>6504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D48342-88B4-5509-D400-2ED3520E0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780585</xdr:colOff>
      <xdr:row>55</xdr:row>
      <xdr:rowOff>30047</xdr:rowOff>
    </xdr:from>
    <xdr:to>
      <xdr:col>6</xdr:col>
      <xdr:colOff>61951</xdr:colOff>
      <xdr:row>68</xdr:row>
      <xdr:rowOff>155808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13EDC6-7323-FDCB-0D55-6A0666942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10</xdr:row>
      <xdr:rowOff>82550</xdr:rowOff>
    </xdr:from>
    <xdr:to>
      <xdr:col>3</xdr:col>
      <xdr:colOff>819150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3C3FA-705A-BDB4-2CE8-C30C92AF5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1016000</xdr:colOff>
      <xdr:row>10</xdr:row>
      <xdr:rowOff>101600</xdr:rowOff>
    </xdr:from>
    <xdr:to>
      <xdr:col>8</xdr:col>
      <xdr:colOff>793750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F6C79-9967-3F91-9DC7-9BD448747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24</xdr:row>
      <xdr:rowOff>57150</xdr:rowOff>
    </xdr:from>
    <xdr:to>
      <xdr:col>3</xdr:col>
      <xdr:colOff>806450</xdr:colOff>
      <xdr:row>37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6DBC0-8283-9573-7215-17D3BF4C6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1009650</xdr:colOff>
      <xdr:row>24</xdr:row>
      <xdr:rowOff>44450</xdr:rowOff>
    </xdr:from>
    <xdr:to>
      <xdr:col>9</xdr:col>
      <xdr:colOff>6350</xdr:colOff>
      <xdr:row>37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3D5C96-D635-7AEA-99A8-99ACE3045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t" refreshedDate="46113.946971412035" createdVersion="8" refreshedVersion="8" minRefreshableVersion="3" recordCount="200" xr:uid="{22551B93-5874-514D-95BD-CCC8A7EA9FA5}">
  <cacheSource type="worksheet">
    <worksheetSource ref="A1:I201" sheet="Cleaned Data"/>
  </cacheSource>
  <cacheFields count="11">
    <cacheField name="Transaction ID" numFmtId="0">
      <sharedItems count="2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  <s v="T0101"/>
        <s v="T0102"/>
        <s v="T0103"/>
        <s v="T0104"/>
        <s v="T0105"/>
        <s v="T0106"/>
        <s v="T0107"/>
        <s v="T0108"/>
        <s v="T0109"/>
        <s v="T0110"/>
        <s v="T0111"/>
        <s v="T0112"/>
        <s v="T0113"/>
        <s v="T0114"/>
        <s v="T0115"/>
        <s v="T0116"/>
        <s v="T0117"/>
        <s v="T0118"/>
        <s v="T0119"/>
        <s v="T0120"/>
        <s v="T0121"/>
        <s v="T0122"/>
        <s v="T0123"/>
        <s v="T0124"/>
        <s v="T0125"/>
        <s v="T0126"/>
        <s v="T0127"/>
        <s v="T0128"/>
        <s v="T0129"/>
        <s v="T0130"/>
        <s v="T0131"/>
        <s v="T0132"/>
        <s v="T0133"/>
        <s v="T0134"/>
        <s v="T0135"/>
        <s v="T0136"/>
        <s v="T0137"/>
        <s v="T0138"/>
        <s v="T0139"/>
        <s v="T0140"/>
        <s v="T0141"/>
        <s v="T0142"/>
        <s v="T0143"/>
        <s v="T0144"/>
        <s v="T0145"/>
        <s v="T0146"/>
        <s v="T0147"/>
        <s v="T0148"/>
        <s v="T0149"/>
        <s v="T0150"/>
        <s v="T0151"/>
        <s v="T0152"/>
        <s v="T0153"/>
        <s v="T0154"/>
        <s v="T0155"/>
        <s v="T0156"/>
        <s v="T0157"/>
        <s v="T0158"/>
        <s v="T0159"/>
        <s v="T0160"/>
        <s v="T0161"/>
        <s v="T0162"/>
        <s v="T0163"/>
        <s v="T0164"/>
        <s v="T0165"/>
        <s v="T0166"/>
        <s v="T0167"/>
        <s v="T0168"/>
        <s v="T0169"/>
        <s v="T0170"/>
        <s v="T0171"/>
        <s v="T0172"/>
        <s v="T0173"/>
        <s v="T0174"/>
        <s v="T0175"/>
        <s v="T0176"/>
        <s v="T0177"/>
        <s v="T0178"/>
        <s v="T0179"/>
        <s v="T0180"/>
        <s v="T0181"/>
        <s v="T0182"/>
        <s v="T0183"/>
        <s v="T0184"/>
        <s v="T0185"/>
        <s v="T0186"/>
        <s v="T0187"/>
        <s v="T0188"/>
        <s v="T0189"/>
        <s v="T0190"/>
        <s v="T0191"/>
        <s v="T0192"/>
        <s v="T0193"/>
        <s v="T0194"/>
        <s v="T0195"/>
        <s v="T0196"/>
        <s v="T0197"/>
        <s v="T0198"/>
        <s v="T0199"/>
        <s v="T0200"/>
      </sharedItems>
    </cacheField>
    <cacheField name="Customer Name" numFmtId="0">
      <sharedItems count="20">
        <s v="Charlotte Dupont"/>
        <s v="Olivia Clark"/>
        <s v="Ava Petrov"/>
        <s v="Liam Brown"/>
        <s v="Sofia Rossi"/>
        <s v="Harper Jensen"/>
        <s v="John Smith"/>
        <s v="Oliver Schmidt"/>
        <s v="Lucas Perez"/>
        <s v="Mateo Costa"/>
        <s v="Amelia Novak"/>
        <s v="Maria Garcia"/>
        <s v="James Taylor"/>
        <s v="Isabella Silva"/>
        <s v="Elijah Ivanov"/>
        <s v="Ali John"/>
        <s v="Ethan Kovacs"/>
        <s v="Mia Novak"/>
        <s v="Emma Wilson"/>
        <s v="Noah Martin"/>
      </sharedItems>
    </cacheField>
    <cacheField name="Country" numFmtId="0">
      <sharedItems count="8">
        <s v="Estonia"/>
        <s v="Finland"/>
        <s v="Germany"/>
        <s v="Sweden"/>
        <s v="Norway"/>
        <s v="Lithuania"/>
        <s v="Poland"/>
        <s v="Latvia"/>
      </sharedItems>
    </cacheField>
    <cacheField name="Date" numFmtId="14">
      <sharedItems containsSemiMixedTypes="0" containsNonDate="0" containsDate="1" containsString="0" minDate="2025-01-03T00:00:00" maxDate="2025-05-02T00:00:00" count="92">
        <d v="2025-03-29T00:00:00"/>
        <d v="2025-01-27T00:00:00"/>
        <d v="2025-01-25T00:00:00"/>
        <d v="2025-03-23T00:00:00"/>
        <d v="2025-03-10T00:00:00"/>
        <d v="2025-01-28T00:00:00"/>
        <d v="2025-03-30T00:00:00"/>
        <d v="2025-04-04T00:00:00"/>
        <d v="2025-02-12T00:00:00"/>
        <d v="2025-04-12T00:00:00"/>
        <d v="2025-01-16T00:00:00"/>
        <d v="2025-04-22T00:00:00"/>
        <d v="2025-01-14T00:00:00"/>
        <d v="2025-01-11T00:00:00"/>
        <d v="2025-03-02T00:00:00"/>
        <d v="2025-01-24T00:00:00"/>
        <d v="2025-01-10T00:00:00"/>
        <d v="2025-02-24T00:00:00"/>
        <d v="2025-01-03T00:00:00"/>
        <d v="2025-03-31T00:00:00"/>
        <d v="2025-01-06T00:00:00"/>
        <d v="2025-04-08T00:00:00"/>
        <d v="2025-04-30T00:00:00"/>
        <d v="2025-02-26T00:00:00"/>
        <d v="2025-02-20T00:00:00"/>
        <d v="2025-03-05T00:00:00"/>
        <d v="2025-04-01T00:00:00"/>
        <d v="2025-04-05T00:00:00"/>
        <d v="2025-03-27T00:00:00"/>
        <d v="2025-04-09T00:00:00"/>
        <d v="2025-04-29T00:00:00"/>
        <d v="2025-03-24T00:00:00"/>
        <d v="2025-03-06T00:00:00"/>
        <d v="2025-03-03T00:00:00"/>
        <d v="2025-04-06T00:00:00"/>
        <d v="2025-03-18T00:00:00"/>
        <d v="2025-03-19T00:00:00"/>
        <d v="2025-03-12T00:00:00"/>
        <d v="2025-02-04T00:00:00"/>
        <d v="2025-01-05T00:00:00"/>
        <d v="2025-01-13T00:00:00"/>
        <d v="2025-04-02T00:00:00"/>
        <d v="2025-04-19T00:00:00"/>
        <d v="2025-03-20T00:00:00"/>
        <d v="2025-01-20T00:00:00"/>
        <d v="2025-03-07T00:00:00"/>
        <d v="2025-02-14T00:00:00"/>
        <d v="2025-02-23T00:00:00"/>
        <d v="2025-04-26T00:00:00"/>
        <d v="2025-03-17T00:00:00"/>
        <d v="2025-03-28T00:00:00"/>
        <d v="2025-01-22T00:00:00"/>
        <d v="2025-05-01T00:00:00"/>
        <d v="2025-03-16T00:00:00"/>
        <d v="2025-02-25T00:00:00"/>
        <d v="2025-02-15T00:00:00"/>
        <d v="2025-03-01T00:00:00"/>
        <d v="2025-04-24T00:00:00"/>
        <d v="2025-01-21T00:00:00"/>
        <d v="2025-01-18T00:00:00"/>
        <d v="2025-01-09T00:00:00"/>
        <d v="2025-04-03T00:00:00"/>
        <d v="2025-01-19T00:00:00"/>
        <d v="2025-03-15T00:00:00"/>
        <d v="2025-04-21T00:00:00"/>
        <d v="2025-04-16T00:00:00"/>
        <d v="2025-02-28T00:00:00"/>
        <d v="2025-03-21T00:00:00"/>
        <d v="2025-02-17T00:00:00"/>
        <d v="2025-02-18T00:00:00"/>
        <d v="2025-02-08T00:00:00"/>
        <d v="2025-02-27T00:00:00"/>
        <d v="2025-01-23T00:00:00"/>
        <d v="2025-02-02T00:00:00"/>
        <d v="2025-02-09T00:00:00"/>
        <d v="2025-01-31T00:00:00"/>
        <d v="2025-02-21T00:00:00"/>
        <d v="2025-03-26T00:00:00"/>
        <d v="2025-02-22T00:00:00"/>
        <d v="2025-04-11T00:00:00"/>
        <d v="2025-01-12T00:00:00"/>
        <d v="2025-03-13T00:00:00"/>
        <d v="2025-02-10T00:00:00"/>
        <d v="2025-03-04T00:00:00"/>
        <d v="2025-01-29T00:00:00"/>
        <d v="2025-02-06T00:00:00"/>
        <d v="2025-03-25T00:00:00"/>
        <d v="2025-01-30T00:00:00"/>
        <d v="2025-04-20T00:00:00"/>
        <d v="2025-02-01T00:00:00"/>
        <d v="2025-03-11T00:00:00"/>
        <d v="2025-03-22T00:00:00"/>
      </sharedItems>
      <fieldGroup par="10"/>
    </cacheField>
    <cacheField name="Product Category" numFmtId="0">
      <sharedItems count="5">
        <s v="Hardware"/>
        <s v="Software"/>
        <s v="Subscription"/>
        <s v="Support"/>
        <s v="Consulting"/>
      </sharedItems>
    </cacheField>
    <cacheField name="Amount" numFmtId="2">
      <sharedItems containsString="0" containsBlank="1" containsNumber="1" minValue="20.32" maxValue="1945.85"/>
    </cacheField>
    <cacheField name="Payment Status" numFmtId="0">
      <sharedItems containsBlank="1" count="5">
        <s v="Pending "/>
        <s v="paid"/>
        <m/>
        <s v="Pending"/>
        <s v="Failed"/>
      </sharedItems>
    </cacheField>
    <cacheField name="Sales Rep" numFmtId="0">
      <sharedItems containsBlank="1" count="7">
        <s v="David"/>
        <s v="Anna"/>
        <s v="Mark"/>
        <s v="Elena"/>
        <m/>
        <s v="Sara"/>
        <s v="Peter"/>
      </sharedItems>
    </cacheField>
    <cacheField name="Notes" numFmtId="0">
      <sharedItems containsBlank="1"/>
    </cacheField>
    <cacheField name="Days (Date)" numFmtId="0" databaseField="0">
      <fieldGroup base="3">
        <rangePr groupBy="days" startDate="2025-01-03T00:00:00" endDate="2025-05-02T00:00:00"/>
        <groupItems count="368">
          <s v="&lt;03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5/2025"/>
        </groupItems>
      </fieldGroup>
    </cacheField>
    <cacheField name="Months (Date)" numFmtId="0" databaseField="0">
      <fieldGroup base="3">
        <rangePr groupBy="months" startDate="2025-01-03T00:00:00" endDate="2025-05-02T00:00:00"/>
        <groupItems count="14">
          <s v="&lt;03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m/>
    <x v="0"/>
    <x v="0"/>
    <m/>
  </r>
  <r>
    <x v="1"/>
    <x v="1"/>
    <x v="1"/>
    <x v="1"/>
    <x v="0"/>
    <n v="197.4"/>
    <x v="1"/>
    <x v="1"/>
    <m/>
  </r>
  <r>
    <x v="2"/>
    <x v="2"/>
    <x v="2"/>
    <x v="2"/>
    <x v="1"/>
    <n v="1258.48"/>
    <x v="2"/>
    <x v="1"/>
    <m/>
  </r>
  <r>
    <x v="3"/>
    <x v="3"/>
    <x v="1"/>
    <x v="3"/>
    <x v="1"/>
    <n v="71.78"/>
    <x v="3"/>
    <x v="2"/>
    <m/>
  </r>
  <r>
    <x v="4"/>
    <x v="0"/>
    <x v="3"/>
    <x v="4"/>
    <x v="2"/>
    <n v="1143.3"/>
    <x v="0"/>
    <x v="3"/>
    <m/>
  </r>
  <r>
    <x v="5"/>
    <x v="4"/>
    <x v="1"/>
    <x v="5"/>
    <x v="1"/>
    <n v="356.34"/>
    <x v="1"/>
    <x v="3"/>
    <s v="Check data"/>
  </r>
  <r>
    <x v="6"/>
    <x v="5"/>
    <x v="4"/>
    <x v="6"/>
    <x v="2"/>
    <n v="1421.33"/>
    <x v="1"/>
    <x v="4"/>
    <m/>
  </r>
  <r>
    <x v="7"/>
    <x v="6"/>
    <x v="5"/>
    <x v="7"/>
    <x v="2"/>
    <n v="398.57"/>
    <x v="1"/>
    <x v="0"/>
    <m/>
  </r>
  <r>
    <x v="8"/>
    <x v="1"/>
    <x v="4"/>
    <x v="8"/>
    <x v="2"/>
    <n v="20.32"/>
    <x v="3"/>
    <x v="3"/>
    <m/>
  </r>
  <r>
    <x v="9"/>
    <x v="4"/>
    <x v="6"/>
    <x v="9"/>
    <x v="1"/>
    <n v="1795.94"/>
    <x v="1"/>
    <x v="5"/>
    <m/>
  </r>
  <r>
    <x v="10"/>
    <x v="7"/>
    <x v="5"/>
    <x v="10"/>
    <x v="3"/>
    <n v="31.27"/>
    <x v="1"/>
    <x v="1"/>
    <s v="Check data"/>
  </r>
  <r>
    <x v="11"/>
    <x v="8"/>
    <x v="5"/>
    <x v="11"/>
    <x v="2"/>
    <n v="1550.37"/>
    <x v="0"/>
    <x v="6"/>
    <m/>
  </r>
  <r>
    <x v="12"/>
    <x v="9"/>
    <x v="7"/>
    <x v="12"/>
    <x v="0"/>
    <n v="824.93"/>
    <x v="3"/>
    <x v="6"/>
    <m/>
  </r>
  <r>
    <x v="13"/>
    <x v="10"/>
    <x v="3"/>
    <x v="13"/>
    <x v="0"/>
    <n v="181.06"/>
    <x v="1"/>
    <x v="3"/>
    <m/>
  </r>
  <r>
    <x v="14"/>
    <x v="11"/>
    <x v="3"/>
    <x v="14"/>
    <x v="4"/>
    <n v="1885.37"/>
    <x v="3"/>
    <x v="1"/>
    <m/>
  </r>
  <r>
    <x v="15"/>
    <x v="9"/>
    <x v="4"/>
    <x v="15"/>
    <x v="3"/>
    <n v="1696.57"/>
    <x v="4"/>
    <x v="1"/>
    <m/>
  </r>
  <r>
    <x v="16"/>
    <x v="1"/>
    <x v="4"/>
    <x v="0"/>
    <x v="2"/>
    <n v="1016.41"/>
    <x v="1"/>
    <x v="4"/>
    <m/>
  </r>
  <r>
    <x v="17"/>
    <x v="8"/>
    <x v="6"/>
    <x v="16"/>
    <x v="0"/>
    <n v="700.66"/>
    <x v="3"/>
    <x v="5"/>
    <m/>
  </r>
  <r>
    <x v="18"/>
    <x v="12"/>
    <x v="2"/>
    <x v="17"/>
    <x v="4"/>
    <n v="1798.19"/>
    <x v="4"/>
    <x v="3"/>
    <m/>
  </r>
  <r>
    <x v="19"/>
    <x v="13"/>
    <x v="1"/>
    <x v="4"/>
    <x v="0"/>
    <n v="894.27"/>
    <x v="1"/>
    <x v="1"/>
    <m/>
  </r>
  <r>
    <x v="20"/>
    <x v="8"/>
    <x v="7"/>
    <x v="18"/>
    <x v="4"/>
    <n v="614.35"/>
    <x v="4"/>
    <x v="5"/>
    <m/>
  </r>
  <r>
    <x v="21"/>
    <x v="7"/>
    <x v="5"/>
    <x v="19"/>
    <x v="2"/>
    <n v="1835.84"/>
    <x v="3"/>
    <x v="5"/>
    <m/>
  </r>
  <r>
    <x v="22"/>
    <x v="0"/>
    <x v="2"/>
    <x v="8"/>
    <x v="0"/>
    <n v="1741.36"/>
    <x v="1"/>
    <x v="6"/>
    <m/>
  </r>
  <r>
    <x v="23"/>
    <x v="6"/>
    <x v="4"/>
    <x v="14"/>
    <x v="0"/>
    <n v="343.57"/>
    <x v="1"/>
    <x v="1"/>
    <m/>
  </r>
  <r>
    <x v="24"/>
    <x v="14"/>
    <x v="7"/>
    <x v="20"/>
    <x v="4"/>
    <n v="1287.6099999999999"/>
    <x v="4"/>
    <x v="6"/>
    <m/>
  </r>
  <r>
    <x v="25"/>
    <x v="15"/>
    <x v="2"/>
    <x v="21"/>
    <x v="2"/>
    <n v="523.71"/>
    <x v="4"/>
    <x v="1"/>
    <m/>
  </r>
  <r>
    <x v="26"/>
    <x v="16"/>
    <x v="5"/>
    <x v="22"/>
    <x v="1"/>
    <n v="1155.04"/>
    <x v="1"/>
    <x v="0"/>
    <m/>
  </r>
  <r>
    <x v="27"/>
    <x v="14"/>
    <x v="2"/>
    <x v="23"/>
    <x v="0"/>
    <n v="865.6"/>
    <x v="4"/>
    <x v="1"/>
    <m/>
  </r>
  <r>
    <x v="28"/>
    <x v="13"/>
    <x v="7"/>
    <x v="24"/>
    <x v="3"/>
    <n v="681.91"/>
    <x v="1"/>
    <x v="1"/>
    <s v="Check data"/>
  </r>
  <r>
    <x v="29"/>
    <x v="6"/>
    <x v="1"/>
    <x v="25"/>
    <x v="4"/>
    <n v="1857.15"/>
    <x v="1"/>
    <x v="5"/>
    <m/>
  </r>
  <r>
    <x v="30"/>
    <x v="16"/>
    <x v="1"/>
    <x v="26"/>
    <x v="0"/>
    <n v="1945.1"/>
    <x v="1"/>
    <x v="4"/>
    <m/>
  </r>
  <r>
    <x v="31"/>
    <x v="17"/>
    <x v="3"/>
    <x v="5"/>
    <x v="0"/>
    <n v="1153.22"/>
    <x v="0"/>
    <x v="6"/>
    <m/>
  </r>
  <r>
    <x v="32"/>
    <x v="15"/>
    <x v="4"/>
    <x v="27"/>
    <x v="3"/>
    <n v="644.85"/>
    <x v="1"/>
    <x v="2"/>
    <s v="Check data"/>
  </r>
  <r>
    <x v="33"/>
    <x v="14"/>
    <x v="2"/>
    <x v="28"/>
    <x v="2"/>
    <n v="1797.83"/>
    <x v="1"/>
    <x v="3"/>
    <m/>
  </r>
  <r>
    <x v="34"/>
    <x v="8"/>
    <x v="1"/>
    <x v="29"/>
    <x v="0"/>
    <n v="1794.85"/>
    <x v="3"/>
    <x v="0"/>
    <s v="Check data"/>
  </r>
  <r>
    <x v="35"/>
    <x v="13"/>
    <x v="6"/>
    <x v="30"/>
    <x v="2"/>
    <n v="449.67"/>
    <x v="1"/>
    <x v="4"/>
    <m/>
  </r>
  <r>
    <x v="36"/>
    <x v="18"/>
    <x v="6"/>
    <x v="6"/>
    <x v="3"/>
    <n v="456.64"/>
    <x v="3"/>
    <x v="4"/>
    <m/>
  </r>
  <r>
    <x v="37"/>
    <x v="2"/>
    <x v="5"/>
    <x v="0"/>
    <x v="4"/>
    <n v="1265.56"/>
    <x v="1"/>
    <x v="6"/>
    <m/>
  </r>
  <r>
    <x v="38"/>
    <x v="16"/>
    <x v="2"/>
    <x v="31"/>
    <x v="1"/>
    <n v="1039.18"/>
    <x v="1"/>
    <x v="0"/>
    <s v="Check data"/>
  </r>
  <r>
    <x v="39"/>
    <x v="8"/>
    <x v="1"/>
    <x v="32"/>
    <x v="1"/>
    <n v="1095.83"/>
    <x v="1"/>
    <x v="2"/>
    <s v="Check data"/>
  </r>
  <r>
    <x v="40"/>
    <x v="4"/>
    <x v="1"/>
    <x v="2"/>
    <x v="3"/>
    <n v="1632.57"/>
    <x v="1"/>
    <x v="3"/>
    <m/>
  </r>
  <r>
    <x v="41"/>
    <x v="18"/>
    <x v="6"/>
    <x v="33"/>
    <x v="3"/>
    <n v="582.92999999999995"/>
    <x v="4"/>
    <x v="0"/>
    <m/>
  </r>
  <r>
    <x v="42"/>
    <x v="12"/>
    <x v="1"/>
    <x v="34"/>
    <x v="0"/>
    <n v="531.78"/>
    <x v="1"/>
    <x v="4"/>
    <m/>
  </r>
  <r>
    <x v="43"/>
    <x v="0"/>
    <x v="4"/>
    <x v="35"/>
    <x v="3"/>
    <n v="1918.56"/>
    <x v="1"/>
    <x v="3"/>
    <m/>
  </r>
  <r>
    <x v="44"/>
    <x v="19"/>
    <x v="1"/>
    <x v="36"/>
    <x v="2"/>
    <n v="269.08"/>
    <x v="3"/>
    <x v="1"/>
    <s v="Check data"/>
  </r>
  <r>
    <x v="45"/>
    <x v="5"/>
    <x v="4"/>
    <x v="37"/>
    <x v="1"/>
    <n v="1788.9"/>
    <x v="3"/>
    <x v="3"/>
    <m/>
  </r>
  <r>
    <x v="46"/>
    <x v="9"/>
    <x v="0"/>
    <x v="4"/>
    <x v="4"/>
    <n v="1828.01"/>
    <x v="1"/>
    <x v="2"/>
    <m/>
  </r>
  <r>
    <x v="47"/>
    <x v="1"/>
    <x v="7"/>
    <x v="38"/>
    <x v="4"/>
    <n v="683.38"/>
    <x v="4"/>
    <x v="2"/>
    <m/>
  </r>
  <r>
    <x v="48"/>
    <x v="15"/>
    <x v="5"/>
    <x v="39"/>
    <x v="1"/>
    <n v="681.4"/>
    <x v="0"/>
    <x v="2"/>
    <m/>
  </r>
  <r>
    <x v="49"/>
    <x v="14"/>
    <x v="2"/>
    <x v="7"/>
    <x v="1"/>
    <n v="128.4"/>
    <x v="4"/>
    <x v="1"/>
    <m/>
  </r>
  <r>
    <x v="50"/>
    <x v="10"/>
    <x v="6"/>
    <x v="40"/>
    <x v="3"/>
    <n v="537.54"/>
    <x v="0"/>
    <x v="6"/>
    <m/>
  </r>
  <r>
    <x v="51"/>
    <x v="13"/>
    <x v="3"/>
    <x v="41"/>
    <x v="0"/>
    <n v="1865.6"/>
    <x v="1"/>
    <x v="4"/>
    <m/>
  </r>
  <r>
    <x v="52"/>
    <x v="3"/>
    <x v="3"/>
    <x v="4"/>
    <x v="4"/>
    <n v="143.1"/>
    <x v="1"/>
    <x v="6"/>
    <m/>
  </r>
  <r>
    <x v="53"/>
    <x v="7"/>
    <x v="4"/>
    <x v="12"/>
    <x v="0"/>
    <n v="225.37"/>
    <x v="0"/>
    <x v="3"/>
    <m/>
  </r>
  <r>
    <x v="54"/>
    <x v="10"/>
    <x v="2"/>
    <x v="30"/>
    <x v="0"/>
    <n v="1408.54"/>
    <x v="1"/>
    <x v="6"/>
    <m/>
  </r>
  <r>
    <x v="55"/>
    <x v="12"/>
    <x v="0"/>
    <x v="42"/>
    <x v="4"/>
    <n v="751.35"/>
    <x v="3"/>
    <x v="0"/>
    <m/>
  </r>
  <r>
    <x v="56"/>
    <x v="6"/>
    <x v="4"/>
    <x v="11"/>
    <x v="0"/>
    <n v="1098.52"/>
    <x v="4"/>
    <x v="6"/>
    <m/>
  </r>
  <r>
    <x v="57"/>
    <x v="12"/>
    <x v="6"/>
    <x v="28"/>
    <x v="0"/>
    <n v="24.32"/>
    <x v="1"/>
    <x v="6"/>
    <m/>
  </r>
  <r>
    <x v="58"/>
    <x v="12"/>
    <x v="4"/>
    <x v="43"/>
    <x v="3"/>
    <m/>
    <x v="4"/>
    <x v="4"/>
    <m/>
  </r>
  <r>
    <x v="59"/>
    <x v="8"/>
    <x v="7"/>
    <x v="44"/>
    <x v="1"/>
    <n v="154.57"/>
    <x v="0"/>
    <x v="2"/>
    <m/>
  </r>
  <r>
    <x v="60"/>
    <x v="8"/>
    <x v="5"/>
    <x v="45"/>
    <x v="0"/>
    <n v="209.22"/>
    <x v="1"/>
    <x v="1"/>
    <s v="Check data"/>
  </r>
  <r>
    <x v="61"/>
    <x v="2"/>
    <x v="0"/>
    <x v="45"/>
    <x v="2"/>
    <n v="1201.18"/>
    <x v="4"/>
    <x v="2"/>
    <m/>
  </r>
  <r>
    <x v="62"/>
    <x v="0"/>
    <x v="5"/>
    <x v="46"/>
    <x v="3"/>
    <n v="575.32000000000005"/>
    <x v="1"/>
    <x v="2"/>
    <m/>
  </r>
  <r>
    <x v="63"/>
    <x v="10"/>
    <x v="3"/>
    <x v="19"/>
    <x v="2"/>
    <n v="1764.95"/>
    <x v="3"/>
    <x v="6"/>
    <m/>
  </r>
  <r>
    <x v="64"/>
    <x v="4"/>
    <x v="6"/>
    <x v="47"/>
    <x v="3"/>
    <n v="854.7"/>
    <x v="3"/>
    <x v="3"/>
    <m/>
  </r>
  <r>
    <x v="65"/>
    <x v="15"/>
    <x v="0"/>
    <x v="22"/>
    <x v="1"/>
    <n v="1928.67"/>
    <x v="1"/>
    <x v="6"/>
    <m/>
  </r>
  <r>
    <x v="66"/>
    <x v="7"/>
    <x v="0"/>
    <x v="12"/>
    <x v="3"/>
    <n v="433.79"/>
    <x v="1"/>
    <x v="5"/>
    <m/>
  </r>
  <r>
    <x v="67"/>
    <x v="12"/>
    <x v="1"/>
    <x v="48"/>
    <x v="0"/>
    <n v="823.92"/>
    <x v="2"/>
    <x v="5"/>
    <m/>
  </r>
  <r>
    <x v="68"/>
    <x v="11"/>
    <x v="6"/>
    <x v="11"/>
    <x v="1"/>
    <n v="71.38"/>
    <x v="3"/>
    <x v="5"/>
    <s v="Check data"/>
  </r>
  <r>
    <x v="69"/>
    <x v="1"/>
    <x v="6"/>
    <x v="26"/>
    <x v="0"/>
    <n v="335.09"/>
    <x v="1"/>
    <x v="4"/>
    <m/>
  </r>
  <r>
    <x v="70"/>
    <x v="17"/>
    <x v="5"/>
    <x v="49"/>
    <x v="2"/>
    <n v="797.49"/>
    <x v="0"/>
    <x v="6"/>
    <m/>
  </r>
  <r>
    <x v="71"/>
    <x v="6"/>
    <x v="7"/>
    <x v="2"/>
    <x v="2"/>
    <m/>
    <x v="1"/>
    <x v="6"/>
    <s v="Check data"/>
  </r>
  <r>
    <x v="72"/>
    <x v="0"/>
    <x v="7"/>
    <x v="50"/>
    <x v="2"/>
    <n v="1638.45"/>
    <x v="0"/>
    <x v="1"/>
    <m/>
  </r>
  <r>
    <x v="73"/>
    <x v="6"/>
    <x v="0"/>
    <x v="39"/>
    <x v="4"/>
    <n v="992.2"/>
    <x v="0"/>
    <x v="4"/>
    <m/>
  </r>
  <r>
    <x v="74"/>
    <x v="13"/>
    <x v="4"/>
    <x v="51"/>
    <x v="1"/>
    <n v="1748.4"/>
    <x v="1"/>
    <x v="5"/>
    <m/>
  </r>
  <r>
    <x v="75"/>
    <x v="7"/>
    <x v="4"/>
    <x v="52"/>
    <x v="3"/>
    <n v="1510.91"/>
    <x v="3"/>
    <x v="1"/>
    <m/>
  </r>
  <r>
    <x v="76"/>
    <x v="18"/>
    <x v="1"/>
    <x v="53"/>
    <x v="3"/>
    <n v="151.66"/>
    <x v="0"/>
    <x v="1"/>
    <m/>
  </r>
  <r>
    <x v="77"/>
    <x v="3"/>
    <x v="7"/>
    <x v="2"/>
    <x v="0"/>
    <n v="453.37"/>
    <x v="1"/>
    <x v="6"/>
    <m/>
  </r>
  <r>
    <x v="78"/>
    <x v="3"/>
    <x v="5"/>
    <x v="54"/>
    <x v="4"/>
    <n v="279.97000000000003"/>
    <x v="3"/>
    <x v="5"/>
    <m/>
  </r>
  <r>
    <x v="79"/>
    <x v="2"/>
    <x v="6"/>
    <x v="31"/>
    <x v="0"/>
    <n v="1329.83"/>
    <x v="1"/>
    <x v="5"/>
    <s v="Check data"/>
  </r>
  <r>
    <x v="80"/>
    <x v="16"/>
    <x v="5"/>
    <x v="55"/>
    <x v="4"/>
    <n v="1448.24"/>
    <x v="0"/>
    <x v="0"/>
    <m/>
  </r>
  <r>
    <x v="81"/>
    <x v="8"/>
    <x v="3"/>
    <x v="26"/>
    <x v="0"/>
    <n v="1164.48"/>
    <x v="2"/>
    <x v="2"/>
    <s v="Check data"/>
  </r>
  <r>
    <x v="82"/>
    <x v="1"/>
    <x v="5"/>
    <x v="56"/>
    <x v="2"/>
    <n v="1296.93"/>
    <x v="1"/>
    <x v="2"/>
    <m/>
  </r>
  <r>
    <x v="83"/>
    <x v="16"/>
    <x v="1"/>
    <x v="4"/>
    <x v="1"/>
    <n v="1857.89"/>
    <x v="1"/>
    <x v="3"/>
    <m/>
  </r>
  <r>
    <x v="84"/>
    <x v="19"/>
    <x v="5"/>
    <x v="57"/>
    <x v="0"/>
    <n v="64.44"/>
    <x v="4"/>
    <x v="2"/>
    <m/>
  </r>
  <r>
    <x v="85"/>
    <x v="7"/>
    <x v="7"/>
    <x v="58"/>
    <x v="0"/>
    <n v="264.74"/>
    <x v="1"/>
    <x v="0"/>
    <m/>
  </r>
  <r>
    <x v="86"/>
    <x v="1"/>
    <x v="2"/>
    <x v="59"/>
    <x v="0"/>
    <n v="1533.26"/>
    <x v="3"/>
    <x v="4"/>
    <m/>
  </r>
  <r>
    <x v="87"/>
    <x v="4"/>
    <x v="0"/>
    <x v="28"/>
    <x v="1"/>
    <n v="325.74"/>
    <x v="3"/>
    <x v="2"/>
    <m/>
  </r>
  <r>
    <x v="88"/>
    <x v="19"/>
    <x v="5"/>
    <x v="12"/>
    <x v="3"/>
    <n v="1237.76"/>
    <x v="1"/>
    <x v="0"/>
    <m/>
  </r>
  <r>
    <x v="89"/>
    <x v="8"/>
    <x v="3"/>
    <x v="60"/>
    <x v="2"/>
    <n v="1150.3599999999999"/>
    <x v="4"/>
    <x v="6"/>
    <m/>
  </r>
  <r>
    <x v="90"/>
    <x v="8"/>
    <x v="0"/>
    <x v="35"/>
    <x v="4"/>
    <n v="1248.1300000000001"/>
    <x v="1"/>
    <x v="0"/>
    <m/>
  </r>
  <r>
    <x v="91"/>
    <x v="7"/>
    <x v="7"/>
    <x v="10"/>
    <x v="2"/>
    <n v="307.52"/>
    <x v="4"/>
    <x v="1"/>
    <m/>
  </r>
  <r>
    <x v="92"/>
    <x v="7"/>
    <x v="0"/>
    <x v="37"/>
    <x v="1"/>
    <n v="771.29"/>
    <x v="1"/>
    <x v="3"/>
    <m/>
  </r>
  <r>
    <x v="93"/>
    <x v="12"/>
    <x v="2"/>
    <x v="4"/>
    <x v="1"/>
    <n v="1300.77"/>
    <x v="4"/>
    <x v="2"/>
    <m/>
  </r>
  <r>
    <x v="94"/>
    <x v="8"/>
    <x v="5"/>
    <x v="25"/>
    <x v="2"/>
    <n v="1906.23"/>
    <x v="4"/>
    <x v="4"/>
    <m/>
  </r>
  <r>
    <x v="95"/>
    <x v="17"/>
    <x v="5"/>
    <x v="16"/>
    <x v="2"/>
    <n v="342.37"/>
    <x v="1"/>
    <x v="5"/>
    <m/>
  </r>
  <r>
    <x v="96"/>
    <x v="12"/>
    <x v="7"/>
    <x v="16"/>
    <x v="2"/>
    <m/>
    <x v="0"/>
    <x v="3"/>
    <m/>
  </r>
  <r>
    <x v="97"/>
    <x v="15"/>
    <x v="1"/>
    <x v="61"/>
    <x v="3"/>
    <n v="1650"/>
    <x v="1"/>
    <x v="2"/>
    <m/>
  </r>
  <r>
    <x v="98"/>
    <x v="12"/>
    <x v="0"/>
    <x v="62"/>
    <x v="4"/>
    <n v="665.62"/>
    <x v="1"/>
    <x v="4"/>
    <m/>
  </r>
  <r>
    <x v="99"/>
    <x v="0"/>
    <x v="7"/>
    <x v="63"/>
    <x v="4"/>
    <n v="1278.04"/>
    <x v="3"/>
    <x v="5"/>
    <m/>
  </r>
  <r>
    <x v="100"/>
    <x v="3"/>
    <x v="0"/>
    <x v="64"/>
    <x v="2"/>
    <n v="480.61"/>
    <x v="1"/>
    <x v="6"/>
    <m/>
  </r>
  <r>
    <x v="101"/>
    <x v="4"/>
    <x v="6"/>
    <x v="65"/>
    <x v="0"/>
    <n v="362.54"/>
    <x v="1"/>
    <x v="3"/>
    <m/>
  </r>
  <r>
    <x v="102"/>
    <x v="15"/>
    <x v="2"/>
    <x v="60"/>
    <x v="0"/>
    <n v="826.25"/>
    <x v="0"/>
    <x v="0"/>
    <m/>
  </r>
  <r>
    <x v="103"/>
    <x v="15"/>
    <x v="0"/>
    <x v="37"/>
    <x v="1"/>
    <n v="1092.1500000000001"/>
    <x v="1"/>
    <x v="0"/>
    <m/>
  </r>
  <r>
    <x v="104"/>
    <x v="1"/>
    <x v="3"/>
    <x v="66"/>
    <x v="1"/>
    <n v="390.79"/>
    <x v="2"/>
    <x v="6"/>
    <m/>
  </r>
  <r>
    <x v="105"/>
    <x v="8"/>
    <x v="6"/>
    <x v="4"/>
    <x v="3"/>
    <n v="634.41"/>
    <x v="3"/>
    <x v="6"/>
    <m/>
  </r>
  <r>
    <x v="106"/>
    <x v="9"/>
    <x v="2"/>
    <x v="49"/>
    <x v="0"/>
    <n v="798.02"/>
    <x v="1"/>
    <x v="5"/>
    <m/>
  </r>
  <r>
    <x v="107"/>
    <x v="19"/>
    <x v="3"/>
    <x v="55"/>
    <x v="4"/>
    <n v="430.1"/>
    <x v="1"/>
    <x v="3"/>
    <s v="Check data"/>
  </r>
  <r>
    <x v="108"/>
    <x v="2"/>
    <x v="7"/>
    <x v="18"/>
    <x v="4"/>
    <n v="447.72"/>
    <x v="1"/>
    <x v="5"/>
    <m/>
  </r>
  <r>
    <x v="109"/>
    <x v="13"/>
    <x v="1"/>
    <x v="67"/>
    <x v="4"/>
    <n v="1652.32"/>
    <x v="1"/>
    <x v="3"/>
    <m/>
  </r>
  <r>
    <x v="110"/>
    <x v="14"/>
    <x v="0"/>
    <x v="62"/>
    <x v="2"/>
    <n v="1618.43"/>
    <x v="3"/>
    <x v="6"/>
    <m/>
  </r>
  <r>
    <x v="111"/>
    <x v="1"/>
    <x v="5"/>
    <x v="57"/>
    <x v="2"/>
    <n v="1612.27"/>
    <x v="2"/>
    <x v="6"/>
    <m/>
  </r>
  <r>
    <x v="112"/>
    <x v="2"/>
    <x v="7"/>
    <x v="2"/>
    <x v="1"/>
    <n v="1398.1"/>
    <x v="0"/>
    <x v="5"/>
    <m/>
  </r>
  <r>
    <x v="113"/>
    <x v="19"/>
    <x v="2"/>
    <x v="68"/>
    <x v="3"/>
    <n v="1624.53"/>
    <x v="1"/>
    <x v="6"/>
    <m/>
  </r>
  <r>
    <x v="114"/>
    <x v="15"/>
    <x v="1"/>
    <x v="58"/>
    <x v="1"/>
    <n v="1576.65"/>
    <x v="1"/>
    <x v="5"/>
    <m/>
  </r>
  <r>
    <x v="115"/>
    <x v="16"/>
    <x v="3"/>
    <x v="37"/>
    <x v="3"/>
    <n v="1599.04"/>
    <x v="1"/>
    <x v="1"/>
    <m/>
  </r>
  <r>
    <x v="116"/>
    <x v="1"/>
    <x v="7"/>
    <x v="60"/>
    <x v="1"/>
    <n v="1674.11"/>
    <x v="1"/>
    <x v="5"/>
    <m/>
  </r>
  <r>
    <x v="117"/>
    <x v="14"/>
    <x v="3"/>
    <x v="13"/>
    <x v="1"/>
    <n v="709.59"/>
    <x v="4"/>
    <x v="4"/>
    <m/>
  </r>
  <r>
    <x v="118"/>
    <x v="4"/>
    <x v="4"/>
    <x v="53"/>
    <x v="1"/>
    <n v="1171.1500000000001"/>
    <x v="1"/>
    <x v="5"/>
    <m/>
  </r>
  <r>
    <x v="119"/>
    <x v="4"/>
    <x v="0"/>
    <x v="53"/>
    <x v="4"/>
    <n v="103.05"/>
    <x v="3"/>
    <x v="1"/>
    <m/>
  </r>
  <r>
    <x v="120"/>
    <x v="18"/>
    <x v="5"/>
    <x v="21"/>
    <x v="0"/>
    <n v="349.98"/>
    <x v="4"/>
    <x v="2"/>
    <s v="Check data"/>
  </r>
  <r>
    <x v="121"/>
    <x v="5"/>
    <x v="3"/>
    <x v="63"/>
    <x v="3"/>
    <n v="954.47"/>
    <x v="2"/>
    <x v="4"/>
    <m/>
  </r>
  <r>
    <x v="122"/>
    <x v="9"/>
    <x v="7"/>
    <x v="69"/>
    <x v="2"/>
    <n v="588.67999999999995"/>
    <x v="3"/>
    <x v="1"/>
    <m/>
  </r>
  <r>
    <x v="123"/>
    <x v="6"/>
    <x v="2"/>
    <x v="56"/>
    <x v="2"/>
    <n v="1239.79"/>
    <x v="0"/>
    <x v="2"/>
    <m/>
  </r>
  <r>
    <x v="124"/>
    <x v="8"/>
    <x v="2"/>
    <x v="70"/>
    <x v="1"/>
    <n v="1721.17"/>
    <x v="1"/>
    <x v="5"/>
    <s v="Check data"/>
  </r>
  <r>
    <x v="125"/>
    <x v="15"/>
    <x v="7"/>
    <x v="64"/>
    <x v="3"/>
    <n v="722.48"/>
    <x v="1"/>
    <x v="5"/>
    <m/>
  </r>
  <r>
    <x v="126"/>
    <x v="15"/>
    <x v="1"/>
    <x v="71"/>
    <x v="1"/>
    <n v="1353.56"/>
    <x v="1"/>
    <x v="1"/>
    <m/>
  </r>
  <r>
    <x v="127"/>
    <x v="15"/>
    <x v="6"/>
    <x v="0"/>
    <x v="4"/>
    <n v="1945.85"/>
    <x v="1"/>
    <x v="1"/>
    <m/>
  </r>
  <r>
    <x v="128"/>
    <x v="4"/>
    <x v="7"/>
    <x v="72"/>
    <x v="3"/>
    <n v="143.21"/>
    <x v="1"/>
    <x v="2"/>
    <m/>
  </r>
  <r>
    <x v="129"/>
    <x v="15"/>
    <x v="4"/>
    <x v="29"/>
    <x v="1"/>
    <n v="872.29"/>
    <x v="1"/>
    <x v="4"/>
    <m/>
  </r>
  <r>
    <x v="130"/>
    <x v="10"/>
    <x v="7"/>
    <x v="51"/>
    <x v="1"/>
    <n v="238.66"/>
    <x v="4"/>
    <x v="3"/>
    <m/>
  </r>
  <r>
    <x v="131"/>
    <x v="13"/>
    <x v="4"/>
    <x v="73"/>
    <x v="1"/>
    <n v="1775.92"/>
    <x v="4"/>
    <x v="6"/>
    <m/>
  </r>
  <r>
    <x v="132"/>
    <x v="8"/>
    <x v="6"/>
    <x v="59"/>
    <x v="1"/>
    <n v="1365.2"/>
    <x v="3"/>
    <x v="6"/>
    <m/>
  </r>
  <r>
    <x v="133"/>
    <x v="1"/>
    <x v="2"/>
    <x v="37"/>
    <x v="0"/>
    <n v="1208.1600000000001"/>
    <x v="3"/>
    <x v="1"/>
    <m/>
  </r>
  <r>
    <x v="134"/>
    <x v="4"/>
    <x v="6"/>
    <x v="74"/>
    <x v="3"/>
    <n v="224.37"/>
    <x v="2"/>
    <x v="2"/>
    <m/>
  </r>
  <r>
    <x v="135"/>
    <x v="4"/>
    <x v="4"/>
    <x v="36"/>
    <x v="3"/>
    <n v="1457.93"/>
    <x v="3"/>
    <x v="3"/>
    <m/>
  </r>
  <r>
    <x v="136"/>
    <x v="2"/>
    <x v="3"/>
    <x v="6"/>
    <x v="4"/>
    <n v="1137.45"/>
    <x v="1"/>
    <x v="3"/>
    <m/>
  </r>
  <r>
    <x v="137"/>
    <x v="8"/>
    <x v="7"/>
    <x v="35"/>
    <x v="4"/>
    <n v="994.33"/>
    <x v="0"/>
    <x v="2"/>
    <m/>
  </r>
  <r>
    <x v="138"/>
    <x v="14"/>
    <x v="5"/>
    <x v="39"/>
    <x v="2"/>
    <n v="1053.97"/>
    <x v="3"/>
    <x v="6"/>
    <s v="Check data"/>
  </r>
  <r>
    <x v="139"/>
    <x v="19"/>
    <x v="5"/>
    <x v="39"/>
    <x v="2"/>
    <n v="1544.4"/>
    <x v="0"/>
    <x v="5"/>
    <m/>
  </r>
  <r>
    <x v="140"/>
    <x v="16"/>
    <x v="0"/>
    <x v="75"/>
    <x v="4"/>
    <n v="211.17"/>
    <x v="1"/>
    <x v="4"/>
    <m/>
  </r>
  <r>
    <x v="141"/>
    <x v="11"/>
    <x v="1"/>
    <x v="76"/>
    <x v="3"/>
    <n v="1017.65"/>
    <x v="2"/>
    <x v="3"/>
    <m/>
  </r>
  <r>
    <x v="142"/>
    <x v="9"/>
    <x v="7"/>
    <x v="77"/>
    <x v="4"/>
    <n v="196.77"/>
    <x v="4"/>
    <x v="5"/>
    <m/>
  </r>
  <r>
    <x v="143"/>
    <x v="16"/>
    <x v="0"/>
    <x v="50"/>
    <x v="2"/>
    <n v="757.1"/>
    <x v="4"/>
    <x v="6"/>
    <m/>
  </r>
  <r>
    <x v="144"/>
    <x v="15"/>
    <x v="0"/>
    <x v="78"/>
    <x v="4"/>
    <n v="444.29"/>
    <x v="1"/>
    <x v="1"/>
    <m/>
  </r>
  <r>
    <x v="145"/>
    <x v="14"/>
    <x v="3"/>
    <x v="79"/>
    <x v="1"/>
    <n v="1206.23"/>
    <x v="0"/>
    <x v="2"/>
    <m/>
  </r>
  <r>
    <x v="146"/>
    <x v="16"/>
    <x v="2"/>
    <x v="75"/>
    <x v="3"/>
    <n v="1214.3399999999999"/>
    <x v="1"/>
    <x v="6"/>
    <m/>
  </r>
  <r>
    <x v="147"/>
    <x v="3"/>
    <x v="6"/>
    <x v="80"/>
    <x v="4"/>
    <n v="96.09"/>
    <x v="3"/>
    <x v="5"/>
    <m/>
  </r>
  <r>
    <x v="148"/>
    <x v="12"/>
    <x v="0"/>
    <x v="8"/>
    <x v="2"/>
    <m/>
    <x v="1"/>
    <x v="4"/>
    <m/>
  </r>
  <r>
    <x v="149"/>
    <x v="7"/>
    <x v="3"/>
    <x v="81"/>
    <x v="2"/>
    <n v="1388.92"/>
    <x v="4"/>
    <x v="3"/>
    <m/>
  </r>
  <r>
    <x v="150"/>
    <x v="13"/>
    <x v="7"/>
    <x v="67"/>
    <x v="4"/>
    <n v="1280.3800000000001"/>
    <x v="3"/>
    <x v="6"/>
    <m/>
  </r>
  <r>
    <x v="151"/>
    <x v="14"/>
    <x v="3"/>
    <x v="38"/>
    <x v="3"/>
    <n v="430.77"/>
    <x v="4"/>
    <x v="0"/>
    <m/>
  </r>
  <r>
    <x v="152"/>
    <x v="19"/>
    <x v="4"/>
    <x v="4"/>
    <x v="0"/>
    <n v="755.37"/>
    <x v="3"/>
    <x v="3"/>
    <m/>
  </r>
  <r>
    <x v="153"/>
    <x v="5"/>
    <x v="3"/>
    <x v="20"/>
    <x v="0"/>
    <n v="308.89"/>
    <x v="3"/>
    <x v="1"/>
    <m/>
  </r>
  <r>
    <x v="154"/>
    <x v="15"/>
    <x v="5"/>
    <x v="51"/>
    <x v="2"/>
    <n v="743.68"/>
    <x v="3"/>
    <x v="5"/>
    <s v="Check data"/>
  </r>
  <r>
    <x v="155"/>
    <x v="10"/>
    <x v="0"/>
    <x v="13"/>
    <x v="2"/>
    <n v="1117.82"/>
    <x v="3"/>
    <x v="6"/>
    <s v="Check data"/>
  </r>
  <r>
    <x v="156"/>
    <x v="11"/>
    <x v="0"/>
    <x v="82"/>
    <x v="3"/>
    <n v="1473.24"/>
    <x v="1"/>
    <x v="5"/>
    <m/>
  </r>
  <r>
    <x v="157"/>
    <x v="1"/>
    <x v="5"/>
    <x v="16"/>
    <x v="1"/>
    <n v="931.91"/>
    <x v="3"/>
    <x v="6"/>
    <m/>
  </r>
  <r>
    <x v="158"/>
    <x v="7"/>
    <x v="4"/>
    <x v="46"/>
    <x v="0"/>
    <n v="1205.49"/>
    <x v="0"/>
    <x v="4"/>
    <s v="Check data"/>
  </r>
  <r>
    <x v="159"/>
    <x v="18"/>
    <x v="2"/>
    <x v="83"/>
    <x v="1"/>
    <n v="1494.91"/>
    <x v="0"/>
    <x v="5"/>
    <m/>
  </r>
  <r>
    <x v="160"/>
    <x v="4"/>
    <x v="4"/>
    <x v="79"/>
    <x v="2"/>
    <n v="1661.29"/>
    <x v="0"/>
    <x v="1"/>
    <s v="Check data"/>
  </r>
  <r>
    <x v="161"/>
    <x v="15"/>
    <x v="4"/>
    <x v="26"/>
    <x v="0"/>
    <n v="1073.3900000000001"/>
    <x v="4"/>
    <x v="1"/>
    <m/>
  </r>
  <r>
    <x v="162"/>
    <x v="17"/>
    <x v="6"/>
    <x v="77"/>
    <x v="0"/>
    <m/>
    <x v="3"/>
    <x v="1"/>
    <m/>
  </r>
  <r>
    <x v="163"/>
    <x v="13"/>
    <x v="1"/>
    <x v="84"/>
    <x v="2"/>
    <n v="176.97"/>
    <x v="1"/>
    <x v="2"/>
    <m/>
  </r>
  <r>
    <x v="164"/>
    <x v="0"/>
    <x v="3"/>
    <x v="77"/>
    <x v="3"/>
    <n v="55.6"/>
    <x v="2"/>
    <x v="0"/>
    <s v="Check data"/>
  </r>
  <r>
    <x v="165"/>
    <x v="10"/>
    <x v="4"/>
    <x v="85"/>
    <x v="3"/>
    <n v="1014.61"/>
    <x v="1"/>
    <x v="5"/>
    <m/>
  </r>
  <r>
    <x v="166"/>
    <x v="8"/>
    <x v="5"/>
    <x v="86"/>
    <x v="4"/>
    <n v="886.97"/>
    <x v="1"/>
    <x v="0"/>
    <m/>
  </r>
  <r>
    <x v="167"/>
    <x v="5"/>
    <x v="5"/>
    <x v="62"/>
    <x v="4"/>
    <n v="47.65"/>
    <x v="2"/>
    <x v="6"/>
    <m/>
  </r>
  <r>
    <x v="168"/>
    <x v="8"/>
    <x v="1"/>
    <x v="29"/>
    <x v="3"/>
    <n v="402.93"/>
    <x v="4"/>
    <x v="2"/>
    <m/>
  </r>
  <r>
    <x v="169"/>
    <x v="7"/>
    <x v="1"/>
    <x v="36"/>
    <x v="3"/>
    <n v="1485.14"/>
    <x v="1"/>
    <x v="0"/>
    <s v="Check data"/>
  </r>
  <r>
    <x v="170"/>
    <x v="4"/>
    <x v="5"/>
    <x v="62"/>
    <x v="2"/>
    <n v="917.96"/>
    <x v="4"/>
    <x v="0"/>
    <m/>
  </r>
  <r>
    <x v="171"/>
    <x v="6"/>
    <x v="0"/>
    <x v="57"/>
    <x v="3"/>
    <n v="288.08999999999997"/>
    <x v="1"/>
    <x v="3"/>
    <m/>
  </r>
  <r>
    <x v="172"/>
    <x v="19"/>
    <x v="4"/>
    <x v="87"/>
    <x v="3"/>
    <n v="721.62"/>
    <x v="3"/>
    <x v="0"/>
    <m/>
  </r>
  <r>
    <x v="173"/>
    <x v="0"/>
    <x v="0"/>
    <x v="14"/>
    <x v="3"/>
    <n v="1724.84"/>
    <x v="1"/>
    <x v="4"/>
    <m/>
  </r>
  <r>
    <x v="174"/>
    <x v="19"/>
    <x v="3"/>
    <x v="27"/>
    <x v="2"/>
    <n v="1312.11"/>
    <x v="1"/>
    <x v="1"/>
    <m/>
  </r>
  <r>
    <x v="175"/>
    <x v="6"/>
    <x v="1"/>
    <x v="67"/>
    <x v="1"/>
    <m/>
    <x v="4"/>
    <x v="1"/>
    <m/>
  </r>
  <r>
    <x v="176"/>
    <x v="2"/>
    <x v="1"/>
    <x v="81"/>
    <x v="3"/>
    <n v="1187.92"/>
    <x v="1"/>
    <x v="3"/>
    <m/>
  </r>
  <r>
    <x v="177"/>
    <x v="15"/>
    <x v="7"/>
    <x v="61"/>
    <x v="2"/>
    <n v="126.01"/>
    <x v="1"/>
    <x v="6"/>
    <m/>
  </r>
  <r>
    <x v="178"/>
    <x v="9"/>
    <x v="5"/>
    <x v="88"/>
    <x v="3"/>
    <n v="1879.1"/>
    <x v="3"/>
    <x v="5"/>
    <m/>
  </r>
  <r>
    <x v="179"/>
    <x v="16"/>
    <x v="1"/>
    <x v="89"/>
    <x v="2"/>
    <n v="571.11"/>
    <x v="3"/>
    <x v="3"/>
    <m/>
  </r>
  <r>
    <x v="180"/>
    <x v="9"/>
    <x v="7"/>
    <x v="83"/>
    <x v="3"/>
    <n v="494.76"/>
    <x v="0"/>
    <x v="0"/>
    <m/>
  </r>
  <r>
    <x v="181"/>
    <x v="1"/>
    <x v="0"/>
    <x v="80"/>
    <x v="1"/>
    <n v="1148.96"/>
    <x v="2"/>
    <x v="3"/>
    <m/>
  </r>
  <r>
    <x v="182"/>
    <x v="16"/>
    <x v="6"/>
    <x v="71"/>
    <x v="0"/>
    <n v="1333.29"/>
    <x v="3"/>
    <x v="5"/>
    <m/>
  </r>
  <r>
    <x v="183"/>
    <x v="2"/>
    <x v="7"/>
    <x v="50"/>
    <x v="0"/>
    <n v="1549.11"/>
    <x v="0"/>
    <x v="0"/>
    <m/>
  </r>
  <r>
    <x v="184"/>
    <x v="13"/>
    <x v="2"/>
    <x v="7"/>
    <x v="1"/>
    <n v="1015.07"/>
    <x v="4"/>
    <x v="3"/>
    <m/>
  </r>
  <r>
    <x v="185"/>
    <x v="11"/>
    <x v="2"/>
    <x v="10"/>
    <x v="4"/>
    <n v="1151.71"/>
    <x v="0"/>
    <x v="6"/>
    <m/>
  </r>
  <r>
    <x v="186"/>
    <x v="0"/>
    <x v="0"/>
    <x v="58"/>
    <x v="3"/>
    <n v="1557.07"/>
    <x v="2"/>
    <x v="6"/>
    <m/>
  </r>
  <r>
    <x v="187"/>
    <x v="0"/>
    <x v="2"/>
    <x v="20"/>
    <x v="4"/>
    <n v="1819.52"/>
    <x v="1"/>
    <x v="4"/>
    <m/>
  </r>
  <r>
    <x v="188"/>
    <x v="9"/>
    <x v="1"/>
    <x v="32"/>
    <x v="4"/>
    <n v="1014.54"/>
    <x v="0"/>
    <x v="5"/>
    <m/>
  </r>
  <r>
    <x v="189"/>
    <x v="17"/>
    <x v="1"/>
    <x v="90"/>
    <x v="4"/>
    <n v="1590.08"/>
    <x v="1"/>
    <x v="0"/>
    <m/>
  </r>
  <r>
    <x v="190"/>
    <x v="14"/>
    <x v="5"/>
    <x v="46"/>
    <x v="3"/>
    <m/>
    <x v="1"/>
    <x v="1"/>
    <m/>
  </r>
  <r>
    <x v="191"/>
    <x v="18"/>
    <x v="2"/>
    <x v="59"/>
    <x v="2"/>
    <n v="1478.38"/>
    <x v="1"/>
    <x v="2"/>
    <s v="Check data"/>
  </r>
  <r>
    <x v="192"/>
    <x v="14"/>
    <x v="0"/>
    <x v="24"/>
    <x v="4"/>
    <n v="950.07"/>
    <x v="4"/>
    <x v="1"/>
    <m/>
  </r>
  <r>
    <x v="193"/>
    <x v="15"/>
    <x v="7"/>
    <x v="4"/>
    <x v="4"/>
    <m/>
    <x v="1"/>
    <x v="4"/>
    <m/>
  </r>
  <r>
    <x v="194"/>
    <x v="6"/>
    <x v="5"/>
    <x v="50"/>
    <x v="0"/>
    <n v="1808.4"/>
    <x v="4"/>
    <x v="2"/>
    <m/>
  </r>
  <r>
    <x v="195"/>
    <x v="5"/>
    <x v="4"/>
    <x v="39"/>
    <x v="4"/>
    <n v="1338.64"/>
    <x v="1"/>
    <x v="5"/>
    <s v="Check data"/>
  </r>
  <r>
    <x v="196"/>
    <x v="17"/>
    <x v="5"/>
    <x v="91"/>
    <x v="0"/>
    <n v="417.27"/>
    <x v="4"/>
    <x v="3"/>
    <s v="Check data"/>
  </r>
  <r>
    <x v="197"/>
    <x v="18"/>
    <x v="1"/>
    <x v="7"/>
    <x v="3"/>
    <n v="1019.03"/>
    <x v="4"/>
    <x v="5"/>
    <m/>
  </r>
  <r>
    <x v="198"/>
    <x v="11"/>
    <x v="3"/>
    <x v="49"/>
    <x v="2"/>
    <n v="1906.9"/>
    <x v="1"/>
    <x v="3"/>
    <m/>
  </r>
  <r>
    <x v="199"/>
    <x v="0"/>
    <x v="6"/>
    <x v="20"/>
    <x v="2"/>
    <m/>
    <x v="0"/>
    <x v="3"/>
    <s v="Check d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7F4B8-C878-FA4F-94F6-2EEA73B310AA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presentative">
  <location ref="E47:F55" firstHeaderRow="1" firstDataRow="1" firstDataCol="1"/>
  <pivotFields count="11">
    <pivotField showAll="0"/>
    <pivotField showAll="0"/>
    <pivotField showAll="0"/>
    <pivotField numFmtId="14" showAll="0">
      <items count="93">
        <item x="18"/>
        <item x="39"/>
        <item x="20"/>
        <item x="60"/>
        <item x="16"/>
        <item x="13"/>
        <item x="80"/>
        <item x="40"/>
        <item x="12"/>
        <item x="10"/>
        <item x="59"/>
        <item x="62"/>
        <item x="44"/>
        <item x="58"/>
        <item x="51"/>
        <item x="72"/>
        <item x="15"/>
        <item x="2"/>
        <item x="1"/>
        <item x="5"/>
        <item x="84"/>
        <item x="87"/>
        <item x="75"/>
        <item x="89"/>
        <item x="73"/>
        <item x="38"/>
        <item x="85"/>
        <item x="70"/>
        <item x="74"/>
        <item x="82"/>
        <item x="8"/>
        <item x="46"/>
        <item x="55"/>
        <item x="68"/>
        <item x="69"/>
        <item x="24"/>
        <item x="76"/>
        <item x="78"/>
        <item x="47"/>
        <item x="17"/>
        <item x="54"/>
        <item x="23"/>
        <item x="71"/>
        <item x="66"/>
        <item x="56"/>
        <item x="14"/>
        <item x="33"/>
        <item x="83"/>
        <item x="25"/>
        <item x="32"/>
        <item x="45"/>
        <item x="4"/>
        <item x="90"/>
        <item x="37"/>
        <item x="81"/>
        <item x="63"/>
        <item x="53"/>
        <item x="49"/>
        <item x="35"/>
        <item x="36"/>
        <item x="43"/>
        <item x="67"/>
        <item x="91"/>
        <item x="3"/>
        <item x="31"/>
        <item x="86"/>
        <item x="77"/>
        <item x="28"/>
        <item x="50"/>
        <item x="0"/>
        <item x="6"/>
        <item x="19"/>
        <item x="26"/>
        <item x="41"/>
        <item x="61"/>
        <item x="7"/>
        <item x="27"/>
        <item x="34"/>
        <item x="21"/>
        <item x="29"/>
        <item x="79"/>
        <item x="9"/>
        <item x="65"/>
        <item x="42"/>
        <item x="88"/>
        <item x="64"/>
        <item x="11"/>
        <item x="57"/>
        <item x="48"/>
        <item x="30"/>
        <item x="22"/>
        <item x="52"/>
        <item t="default"/>
      </items>
    </pivotField>
    <pivotField showAll="0"/>
    <pivotField dataField="1" showAll="0"/>
    <pivotField showAll="0"/>
    <pivotField axis="axisRow" showAll="0" sortType="descending">
      <items count="8">
        <item x="1"/>
        <item x="0"/>
        <item x="3"/>
        <item x="2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8">
    <i>
      <x v="4"/>
    </i>
    <i>
      <x v="5"/>
    </i>
    <i>
      <x v="2"/>
    </i>
    <i>
      <x/>
    </i>
    <i>
      <x v="3"/>
    </i>
    <i>
      <x v="6"/>
    </i>
    <i>
      <x v="1"/>
    </i>
    <i t="grand">
      <x/>
    </i>
  </rowItems>
  <colItems count="1">
    <i/>
  </colItems>
  <dataFields count="1">
    <dataField name="Sum of Amount" fld="5" baseField="0" baseItem="0"/>
  </dataFields>
  <formats count="12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7" type="button" dataOnly="0" labelOnly="1" outline="0" axis="axisRow" fieldPosition="0"/>
    </format>
    <format dxfId="125">
      <pivotArea dataOnly="0" labelOnly="1" fieldPosition="0">
        <references count="1">
          <reference field="7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7" type="button" dataOnly="0" labelOnly="1" outline="0" axis="axisRow" fieldPosition="0"/>
    </format>
    <format dxfId="119">
      <pivotArea dataOnly="0" labelOnly="1" fieldPosition="0">
        <references count="1">
          <reference field="7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B7C4F-0FB9-6E41-A66D-4C74D2ECD87D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E20:F29" firstHeaderRow="1" firstDataRow="1" firstDataCol="1"/>
  <pivotFields count="11">
    <pivotField showAll="0"/>
    <pivotField showAll="0"/>
    <pivotField axis="axisRow" showAll="0" sortType="descending">
      <items count="9">
        <item x="0"/>
        <item x="1"/>
        <item x="2"/>
        <item x="7"/>
        <item x="5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3">
        <item x="18"/>
        <item x="39"/>
        <item x="20"/>
        <item x="60"/>
        <item x="16"/>
        <item x="13"/>
        <item x="80"/>
        <item x="40"/>
        <item x="12"/>
        <item x="10"/>
        <item x="59"/>
        <item x="62"/>
        <item x="44"/>
        <item x="58"/>
        <item x="51"/>
        <item x="72"/>
        <item x="15"/>
        <item x="2"/>
        <item x="1"/>
        <item x="5"/>
        <item x="84"/>
        <item x="87"/>
        <item x="75"/>
        <item x="89"/>
        <item x="73"/>
        <item x="38"/>
        <item x="85"/>
        <item x="70"/>
        <item x="74"/>
        <item x="82"/>
        <item x="8"/>
        <item x="46"/>
        <item x="55"/>
        <item x="68"/>
        <item x="69"/>
        <item x="24"/>
        <item x="76"/>
        <item x="78"/>
        <item x="47"/>
        <item x="17"/>
        <item x="54"/>
        <item x="23"/>
        <item x="71"/>
        <item x="66"/>
        <item x="56"/>
        <item x="14"/>
        <item x="33"/>
        <item x="83"/>
        <item x="25"/>
        <item x="32"/>
        <item x="45"/>
        <item x="4"/>
        <item x="90"/>
        <item x="37"/>
        <item x="81"/>
        <item x="63"/>
        <item x="53"/>
        <item x="49"/>
        <item x="35"/>
        <item x="36"/>
        <item x="43"/>
        <item x="67"/>
        <item x="91"/>
        <item x="3"/>
        <item x="31"/>
        <item x="86"/>
        <item x="77"/>
        <item x="28"/>
        <item x="50"/>
        <item x="0"/>
        <item x="6"/>
        <item x="19"/>
        <item x="26"/>
        <item x="41"/>
        <item x="61"/>
        <item x="7"/>
        <item x="27"/>
        <item x="34"/>
        <item x="21"/>
        <item x="29"/>
        <item x="79"/>
        <item x="9"/>
        <item x="65"/>
        <item x="42"/>
        <item x="88"/>
        <item x="64"/>
        <item x="11"/>
        <item x="57"/>
        <item x="48"/>
        <item x="30"/>
        <item x="22"/>
        <item x="52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">
    <i>
      <x v="2"/>
    </i>
    <i>
      <x v="1"/>
    </i>
    <i>
      <x v="4"/>
    </i>
    <i>
      <x v="5"/>
    </i>
    <i>
      <x/>
    </i>
    <i>
      <x v="7"/>
    </i>
    <i>
      <x v="3"/>
    </i>
    <i>
      <x v="6"/>
    </i>
    <i t="grand">
      <x/>
    </i>
  </rowItems>
  <colItems count="1">
    <i/>
  </colItems>
  <dataFields count="1">
    <dataField name="Sum of Amount" fld="5" baseField="0" baseItem="0"/>
  </dataFields>
  <formats count="12"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2" type="button" dataOnly="0" labelOnly="1" outline="0" axis="axisRow" fieldPosition="0"/>
    </format>
    <format dxfId="132">
      <pivotArea dataOnly="0" labelOnly="1" fieldPosition="0">
        <references count="1">
          <reference field="2" count="0"/>
        </references>
      </pivotArea>
    </format>
    <format dxfId="133">
      <pivotArea dataOnly="0" labelOnly="1" grandRow="1" outline="0" fieldPosition="0"/>
    </format>
    <format dxfId="134">
      <pivotArea dataOnly="0" labelOnly="1" outline="0" axis="axisValues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field="2" type="button" dataOnly="0" labelOnly="1" outline="0" axis="axisRow" fieldPosition="0"/>
    </format>
    <format dxfId="138">
      <pivotArea dataOnly="0" labelOnly="1" fieldPosition="0">
        <references count="1">
          <reference field="2" count="0"/>
        </references>
      </pivotArea>
    </format>
    <format dxfId="139">
      <pivotArea dataOnly="0" labelOnly="1" grandRow="1" outline="0" fieldPosition="0"/>
    </format>
    <format dxfId="14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22A98-CC98-6448-9DA0-FA8E86F5AA25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A29:B35" firstHeaderRow="1" firstDataRow="1" firstDataCol="1"/>
  <pivotFields count="11">
    <pivotField showAll="0"/>
    <pivotField showAll="0"/>
    <pivotField showAll="0"/>
    <pivotField numFmtId="14" showAll="0">
      <items count="93">
        <item x="18"/>
        <item x="39"/>
        <item x="20"/>
        <item x="60"/>
        <item x="16"/>
        <item x="13"/>
        <item x="80"/>
        <item x="40"/>
        <item x="12"/>
        <item x="10"/>
        <item x="59"/>
        <item x="62"/>
        <item x="44"/>
        <item x="58"/>
        <item x="51"/>
        <item x="72"/>
        <item x="15"/>
        <item x="2"/>
        <item x="1"/>
        <item x="5"/>
        <item x="84"/>
        <item x="87"/>
        <item x="75"/>
        <item x="89"/>
        <item x="73"/>
        <item x="38"/>
        <item x="85"/>
        <item x="70"/>
        <item x="74"/>
        <item x="82"/>
        <item x="8"/>
        <item x="46"/>
        <item x="55"/>
        <item x="68"/>
        <item x="69"/>
        <item x="24"/>
        <item x="76"/>
        <item x="78"/>
        <item x="47"/>
        <item x="17"/>
        <item x="54"/>
        <item x="23"/>
        <item x="71"/>
        <item x="66"/>
        <item x="56"/>
        <item x="14"/>
        <item x="33"/>
        <item x="83"/>
        <item x="25"/>
        <item x="32"/>
        <item x="45"/>
        <item x="4"/>
        <item x="90"/>
        <item x="37"/>
        <item x="81"/>
        <item x="63"/>
        <item x="53"/>
        <item x="49"/>
        <item x="35"/>
        <item x="36"/>
        <item x="43"/>
        <item x="67"/>
        <item x="91"/>
        <item x="3"/>
        <item x="31"/>
        <item x="86"/>
        <item x="77"/>
        <item x="28"/>
        <item x="50"/>
        <item x="0"/>
        <item x="6"/>
        <item x="19"/>
        <item x="26"/>
        <item x="41"/>
        <item x="61"/>
        <item x="7"/>
        <item x="27"/>
        <item x="34"/>
        <item x="21"/>
        <item x="29"/>
        <item x="79"/>
        <item x="9"/>
        <item x="65"/>
        <item x="42"/>
        <item x="88"/>
        <item x="64"/>
        <item x="11"/>
        <item x="57"/>
        <item x="48"/>
        <item x="30"/>
        <item x="22"/>
        <item x="52"/>
        <item t="default"/>
      </items>
    </pivotField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 of Amount" fld="5" baseField="0" baseItem="0"/>
  </dataFields>
  <formats count="13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4" type="button" dataOnly="0" labelOnly="1" outline="0" axis="axisRow" fieldPosition="0"/>
    </format>
    <format dxfId="148">
      <pivotArea dataOnly="0" labelOnly="1" fieldPosition="0">
        <references count="1">
          <reference field="4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4" type="button" dataOnly="0" labelOnly="1" outline="0" axis="axisRow" fieldPosition="0"/>
    </format>
    <format dxfId="142">
      <pivotArea dataOnly="0" labelOnly="1" fieldPosition="0">
        <references count="1">
          <reference field="4" count="0"/>
        </references>
      </pivotArea>
    </format>
    <format dxfId="141">
      <pivotArea dataOnly="0" labelOnly="1" outline="0" axis="axisValues" fieldPosition="0"/>
    </format>
    <format dxfId="26">
      <pivotArea field="4" dataOnly="0" grandRow="1" axis="axisRow" fieldPosition="0">
        <references count="1">
          <reference field="4" count="1">
            <x v="1"/>
          </reference>
        </references>
      </pivotArea>
    </format>
    <format dxfId="2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40380-A4DB-F740-B87F-EF24CB25A93A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s">
  <location ref="E3:F14" firstHeaderRow="1" firstDataRow="1" firstDataCol="1"/>
  <pivotFields count="11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 measureFilter="1" sortType="descending">
      <items count="21">
        <item x="15"/>
        <item x="10"/>
        <item x="2"/>
        <item x="0"/>
        <item x="14"/>
        <item x="18"/>
        <item x="16"/>
        <item x="5"/>
        <item x="13"/>
        <item x="12"/>
        <item x="6"/>
        <item x="3"/>
        <item x="8"/>
        <item x="11"/>
        <item x="9"/>
        <item x="17"/>
        <item x="19"/>
        <item x="7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93">
        <item x="18"/>
        <item x="39"/>
        <item x="20"/>
        <item x="60"/>
        <item x="16"/>
        <item x="13"/>
        <item x="80"/>
        <item x="40"/>
        <item x="12"/>
        <item x="10"/>
        <item x="59"/>
        <item x="62"/>
        <item x="44"/>
        <item x="58"/>
        <item x="51"/>
        <item x="72"/>
        <item x="15"/>
        <item x="2"/>
        <item x="1"/>
        <item x="5"/>
        <item x="84"/>
        <item x="87"/>
        <item x="75"/>
        <item x="89"/>
        <item x="73"/>
        <item x="38"/>
        <item x="85"/>
        <item x="70"/>
        <item x="74"/>
        <item x="82"/>
        <item x="8"/>
        <item x="46"/>
        <item x="55"/>
        <item x="68"/>
        <item x="69"/>
        <item x="24"/>
        <item x="76"/>
        <item x="78"/>
        <item x="47"/>
        <item x="17"/>
        <item x="54"/>
        <item x="23"/>
        <item x="71"/>
        <item x="66"/>
        <item x="56"/>
        <item x="14"/>
        <item x="33"/>
        <item x="83"/>
        <item x="25"/>
        <item x="32"/>
        <item x="45"/>
        <item x="4"/>
        <item x="90"/>
        <item x="37"/>
        <item x="81"/>
        <item x="63"/>
        <item x="53"/>
        <item x="49"/>
        <item x="35"/>
        <item x="36"/>
        <item x="43"/>
        <item x="67"/>
        <item x="91"/>
        <item x="3"/>
        <item x="31"/>
        <item x="86"/>
        <item x="77"/>
        <item x="28"/>
        <item x="50"/>
        <item x="0"/>
        <item x="6"/>
        <item x="19"/>
        <item x="26"/>
        <item x="41"/>
        <item x="61"/>
        <item x="7"/>
        <item x="27"/>
        <item x="34"/>
        <item x="21"/>
        <item x="29"/>
        <item x="79"/>
        <item x="9"/>
        <item x="65"/>
        <item x="42"/>
        <item x="88"/>
        <item x="64"/>
        <item x="11"/>
        <item x="57"/>
        <item x="48"/>
        <item x="30"/>
        <item x="22"/>
        <item x="52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 v="12"/>
    </i>
    <i>
      <x/>
    </i>
    <i>
      <x v="3"/>
    </i>
    <i>
      <x v="6"/>
    </i>
    <i>
      <x v="18"/>
    </i>
    <i>
      <x v="8"/>
    </i>
    <i>
      <x v="19"/>
    </i>
    <i>
      <x v="2"/>
    </i>
    <i>
      <x v="4"/>
    </i>
    <i>
      <x v="17"/>
    </i>
    <i t="grand">
      <x/>
    </i>
  </rowItems>
  <colItems count="1">
    <i/>
  </colItems>
  <dataFields count="1">
    <dataField name="Sum of Amount" fld="5" baseField="0" baseItem="0"/>
  </dataFields>
  <formats count="12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" type="button" dataOnly="0" labelOnly="1" outline="0" axis="axisRow" fieldPosition="0"/>
    </format>
    <format dxfId="166">
      <pivotArea dataOnly="0" labelOnly="1" fieldPosition="0">
        <references count="1">
          <reference field="1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6592A-0899-554B-93AD-9AB06A267AB7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A3:B9" firstHeaderRow="1" firstDataRow="1" firstDataCol="1"/>
  <pivotFields count="11">
    <pivotField showAll="0"/>
    <pivotField showAll="0"/>
    <pivotField showAll="0"/>
    <pivotField numFmtId="14" showAll="0">
      <items count="93">
        <item x="18"/>
        <item x="39"/>
        <item x="20"/>
        <item x="60"/>
        <item x="16"/>
        <item x="13"/>
        <item x="80"/>
        <item x="40"/>
        <item x="12"/>
        <item x="10"/>
        <item x="59"/>
        <item x="62"/>
        <item x="44"/>
        <item x="58"/>
        <item x="51"/>
        <item x="72"/>
        <item x="15"/>
        <item x="2"/>
        <item x="1"/>
        <item x="5"/>
        <item x="84"/>
        <item x="87"/>
        <item x="75"/>
        <item x="89"/>
        <item x="73"/>
        <item x="38"/>
        <item x="85"/>
        <item x="70"/>
        <item x="74"/>
        <item x="82"/>
        <item x="8"/>
        <item x="46"/>
        <item x="55"/>
        <item x="68"/>
        <item x="69"/>
        <item x="24"/>
        <item x="76"/>
        <item x="78"/>
        <item x="47"/>
        <item x="17"/>
        <item x="54"/>
        <item x="23"/>
        <item x="71"/>
        <item x="66"/>
        <item x="56"/>
        <item x="14"/>
        <item x="33"/>
        <item x="83"/>
        <item x="25"/>
        <item x="32"/>
        <item x="45"/>
        <item x="4"/>
        <item x="90"/>
        <item x="37"/>
        <item x="81"/>
        <item x="63"/>
        <item x="53"/>
        <item x="49"/>
        <item x="35"/>
        <item x="36"/>
        <item x="43"/>
        <item x="67"/>
        <item x="91"/>
        <item x="3"/>
        <item x="31"/>
        <item x="86"/>
        <item x="77"/>
        <item x="28"/>
        <item x="50"/>
        <item x="0"/>
        <item x="6"/>
        <item x="19"/>
        <item x="26"/>
        <item x="41"/>
        <item x="61"/>
        <item x="7"/>
        <item x="27"/>
        <item x="34"/>
        <item x="21"/>
        <item x="29"/>
        <item x="79"/>
        <item x="9"/>
        <item x="65"/>
        <item x="42"/>
        <item x="88"/>
        <item x="64"/>
        <item x="11"/>
        <item x="57"/>
        <item x="48"/>
        <item x="30"/>
        <item x="22"/>
        <item x="52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3"/>
    </i>
    <i>
      <x v="1"/>
    </i>
    <i>
      <x v="4"/>
    </i>
    <i>
      <x v="2"/>
    </i>
    <i>
      <x v="5"/>
    </i>
    <i t="grand">
      <x/>
    </i>
  </rowItems>
  <colItems count="1">
    <i/>
  </colItems>
  <dataFields count="1">
    <dataField name="Sum of Amount" fld="5" baseField="0" baseItem="0"/>
  </dataFields>
  <formats count="13"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0" type="button" dataOnly="0" labelOnly="1" outline="0" axis="axisRow" fieldPosition="0"/>
    </format>
    <format dxfId="172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0" type="button" dataOnly="0" labelOnly="1" outline="0" axis="axisRow" fieldPosition="0"/>
    </format>
    <format dxfId="154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1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5C3F-DC1B-7042-8DEC-43506CFA033C}">
  <dimension ref="A1:I201"/>
  <sheetViews>
    <sheetView topLeftCell="A2" workbookViewId="0">
      <selection activeCell="B2" sqref="B2:B201"/>
    </sheetView>
  </sheetViews>
  <sheetFormatPr baseColWidth="10" defaultRowHeight="16" x14ac:dyDescent="0.2"/>
  <cols>
    <col min="1" max="1" width="15" bestFit="1" customWidth="1"/>
    <col min="2" max="2" width="16.83203125" bestFit="1" customWidth="1"/>
    <col min="3" max="3" width="8.6640625" bestFit="1" customWidth="1"/>
    <col min="4" max="4" width="17" style="9" bestFit="1" customWidth="1"/>
    <col min="5" max="5" width="17.83203125" bestFit="1" customWidth="1"/>
    <col min="6" max="6" width="8.5" style="13" bestFit="1" customWidth="1"/>
    <col min="7" max="7" width="16" bestFit="1" customWidth="1"/>
    <col min="8" max="8" width="10.6640625" bestFit="1" customWidth="1"/>
    <col min="9" max="9" width="10.33203125" bestFit="1" customWidth="1"/>
  </cols>
  <sheetData>
    <row r="1" spans="1:9" ht="20" thickBot="1" x14ac:dyDescent="0.3">
      <c r="A1" s="1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3" t="s">
        <v>8</v>
      </c>
    </row>
    <row r="2" spans="1:9" x14ac:dyDescent="0.2">
      <c r="A2" s="4" t="s">
        <v>9</v>
      </c>
      <c r="B2" s="4" t="s">
        <v>10</v>
      </c>
      <c r="C2" s="4" t="s">
        <v>11</v>
      </c>
      <c r="D2" s="7">
        <v>45745</v>
      </c>
      <c r="E2" s="4" t="s">
        <v>12</v>
      </c>
      <c r="F2" s="11"/>
      <c r="G2" s="4" t="s">
        <v>13</v>
      </c>
      <c r="H2" s="4" t="s">
        <v>14</v>
      </c>
      <c r="I2" s="4"/>
    </row>
    <row r="3" spans="1:9" x14ac:dyDescent="0.2">
      <c r="A3" s="5" t="s">
        <v>15</v>
      </c>
      <c r="B3" s="5" t="s">
        <v>16</v>
      </c>
      <c r="C3" s="5" t="s">
        <v>17</v>
      </c>
      <c r="D3" s="8">
        <v>45684</v>
      </c>
      <c r="E3" s="5" t="s">
        <v>12</v>
      </c>
      <c r="F3" s="12">
        <v>197.4</v>
      </c>
      <c r="G3" s="5" t="s">
        <v>18</v>
      </c>
      <c r="H3" s="5" t="s">
        <v>19</v>
      </c>
      <c r="I3" s="5"/>
    </row>
    <row r="4" spans="1:9" x14ac:dyDescent="0.2">
      <c r="A4" s="5" t="s">
        <v>20</v>
      </c>
      <c r="B4" s="5" t="s">
        <v>21</v>
      </c>
      <c r="C4" s="5" t="s">
        <v>22</v>
      </c>
      <c r="D4" s="8">
        <v>45682</v>
      </c>
      <c r="E4" s="5" t="s">
        <v>23</v>
      </c>
      <c r="F4" s="12">
        <v>1258.48</v>
      </c>
      <c r="G4" s="5"/>
      <c r="H4" s="5" t="s">
        <v>19</v>
      </c>
      <c r="I4" s="5"/>
    </row>
    <row r="5" spans="1:9" x14ac:dyDescent="0.2">
      <c r="A5" s="5" t="s">
        <v>24</v>
      </c>
      <c r="B5" s="5" t="s">
        <v>25</v>
      </c>
      <c r="C5" s="5" t="s">
        <v>17</v>
      </c>
      <c r="D5" s="8">
        <v>45739</v>
      </c>
      <c r="E5" s="5" t="s">
        <v>23</v>
      </c>
      <c r="F5" s="12">
        <v>71.78</v>
      </c>
      <c r="G5" s="5" t="s">
        <v>26</v>
      </c>
      <c r="H5" s="5" t="s">
        <v>27</v>
      </c>
      <c r="I5" s="5"/>
    </row>
    <row r="6" spans="1:9" x14ac:dyDescent="0.2">
      <c r="A6" s="5" t="s">
        <v>28</v>
      </c>
      <c r="B6" s="5" t="s">
        <v>10</v>
      </c>
      <c r="C6" s="5" t="s">
        <v>29</v>
      </c>
      <c r="D6" s="8">
        <v>45726</v>
      </c>
      <c r="E6" s="5" t="s">
        <v>30</v>
      </c>
      <c r="F6" s="12">
        <v>1143.3</v>
      </c>
      <c r="G6" s="5" t="s">
        <v>13</v>
      </c>
      <c r="H6" s="5" t="s">
        <v>31</v>
      </c>
      <c r="I6" s="5"/>
    </row>
    <row r="7" spans="1:9" x14ac:dyDescent="0.2">
      <c r="A7" s="5" t="s">
        <v>32</v>
      </c>
      <c r="B7" s="5" t="s">
        <v>33</v>
      </c>
      <c r="C7" s="5" t="s">
        <v>17</v>
      </c>
      <c r="D7" s="8">
        <v>45685</v>
      </c>
      <c r="E7" s="5" t="s">
        <v>23</v>
      </c>
      <c r="F7" s="12">
        <v>356.34</v>
      </c>
      <c r="G7" s="5" t="s">
        <v>34</v>
      </c>
      <c r="H7" s="5" t="s">
        <v>31</v>
      </c>
      <c r="I7" s="5" t="s">
        <v>35</v>
      </c>
    </row>
    <row r="8" spans="1:9" x14ac:dyDescent="0.2">
      <c r="A8" s="5" t="s">
        <v>36</v>
      </c>
      <c r="B8" s="5" t="s">
        <v>37</v>
      </c>
      <c r="C8" s="5" t="s">
        <v>38</v>
      </c>
      <c r="D8" s="8">
        <v>45746</v>
      </c>
      <c r="E8" s="5" t="s">
        <v>30</v>
      </c>
      <c r="F8" s="12">
        <v>1421.33</v>
      </c>
      <c r="G8" s="5" t="s">
        <v>39</v>
      </c>
      <c r="H8" s="5"/>
      <c r="I8" s="5"/>
    </row>
    <row r="9" spans="1:9" x14ac:dyDescent="0.2">
      <c r="A9" s="5" t="s">
        <v>40</v>
      </c>
      <c r="B9" s="5" t="s">
        <v>41</v>
      </c>
      <c r="C9" s="5" t="s">
        <v>42</v>
      </c>
      <c r="D9" s="8">
        <v>45751</v>
      </c>
      <c r="E9" s="5" t="s">
        <v>30</v>
      </c>
      <c r="F9" s="12">
        <v>398.57</v>
      </c>
      <c r="G9" s="5" t="s">
        <v>34</v>
      </c>
      <c r="H9" s="5" t="s">
        <v>14</v>
      </c>
      <c r="I9" s="5"/>
    </row>
    <row r="10" spans="1:9" x14ac:dyDescent="0.2">
      <c r="A10" s="5" t="s">
        <v>43</v>
      </c>
      <c r="B10" s="5" t="s">
        <v>16</v>
      </c>
      <c r="C10" s="5" t="s">
        <v>38</v>
      </c>
      <c r="D10" s="8">
        <v>45700</v>
      </c>
      <c r="E10" s="5" t="s">
        <v>30</v>
      </c>
      <c r="F10" s="12">
        <v>20.32</v>
      </c>
      <c r="G10" s="5" t="s">
        <v>26</v>
      </c>
      <c r="H10" s="5" t="s">
        <v>31</v>
      </c>
      <c r="I10" s="5"/>
    </row>
    <row r="11" spans="1:9" x14ac:dyDescent="0.2">
      <c r="A11" s="5" t="s">
        <v>44</v>
      </c>
      <c r="B11" s="5" t="s">
        <v>33</v>
      </c>
      <c r="C11" s="5" t="s">
        <v>45</v>
      </c>
      <c r="D11" s="8">
        <v>45759</v>
      </c>
      <c r="E11" s="5" t="s">
        <v>23</v>
      </c>
      <c r="F11" s="12">
        <v>1795.94</v>
      </c>
      <c r="G11" s="5" t="s">
        <v>18</v>
      </c>
      <c r="H11" s="5" t="s">
        <v>46</v>
      </c>
      <c r="I11" s="5"/>
    </row>
    <row r="12" spans="1:9" x14ac:dyDescent="0.2">
      <c r="A12" s="5" t="s">
        <v>47</v>
      </c>
      <c r="B12" s="5" t="s">
        <v>48</v>
      </c>
      <c r="C12" s="5" t="s">
        <v>42</v>
      </c>
      <c r="D12" s="8">
        <v>45673</v>
      </c>
      <c r="E12" s="5" t="s">
        <v>49</v>
      </c>
      <c r="F12" s="12">
        <v>31.27</v>
      </c>
      <c r="G12" s="5" t="s">
        <v>39</v>
      </c>
      <c r="H12" s="5" t="s">
        <v>19</v>
      </c>
      <c r="I12" s="5" t="s">
        <v>35</v>
      </c>
    </row>
    <row r="13" spans="1:9" x14ac:dyDescent="0.2">
      <c r="A13" s="5" t="s">
        <v>50</v>
      </c>
      <c r="B13" s="5" t="s">
        <v>51</v>
      </c>
      <c r="C13" s="5" t="s">
        <v>42</v>
      </c>
      <c r="D13" s="8">
        <v>45769</v>
      </c>
      <c r="E13" s="5" t="s">
        <v>30</v>
      </c>
      <c r="F13" s="12">
        <v>1550.37</v>
      </c>
      <c r="G13" s="5" t="s">
        <v>13</v>
      </c>
      <c r="H13" s="5" t="s">
        <v>52</v>
      </c>
      <c r="I13" s="5"/>
    </row>
    <row r="14" spans="1:9" x14ac:dyDescent="0.2">
      <c r="A14" s="5" t="s">
        <v>53</v>
      </c>
      <c r="B14" s="5" t="s">
        <v>54</v>
      </c>
      <c r="C14" s="5" t="s">
        <v>55</v>
      </c>
      <c r="D14" s="8">
        <v>45671</v>
      </c>
      <c r="E14" s="5" t="s">
        <v>12</v>
      </c>
      <c r="F14" s="12">
        <v>824.93</v>
      </c>
      <c r="G14" s="5" t="s">
        <v>26</v>
      </c>
      <c r="H14" s="5" t="s">
        <v>52</v>
      </c>
      <c r="I14" s="5"/>
    </row>
    <row r="15" spans="1:9" x14ac:dyDescent="0.2">
      <c r="A15" s="5" t="s">
        <v>56</v>
      </c>
      <c r="B15" s="5" t="s">
        <v>57</v>
      </c>
      <c r="C15" s="5" t="s">
        <v>29</v>
      </c>
      <c r="D15" s="8">
        <v>45668</v>
      </c>
      <c r="E15" s="5" t="s">
        <v>12</v>
      </c>
      <c r="F15" s="12">
        <v>181.06</v>
      </c>
      <c r="G15" s="5" t="s">
        <v>18</v>
      </c>
      <c r="H15" s="5" t="s">
        <v>31</v>
      </c>
      <c r="I15" s="5"/>
    </row>
    <row r="16" spans="1:9" x14ac:dyDescent="0.2">
      <c r="A16" s="5" t="s">
        <v>58</v>
      </c>
      <c r="B16" s="5" t="s">
        <v>59</v>
      </c>
      <c r="C16" s="5" t="s">
        <v>29</v>
      </c>
      <c r="D16" s="8">
        <v>45718</v>
      </c>
      <c r="E16" s="5" t="s">
        <v>60</v>
      </c>
      <c r="F16" s="12">
        <v>1885.37</v>
      </c>
      <c r="G16" s="5" t="s">
        <v>26</v>
      </c>
      <c r="H16" s="5" t="s">
        <v>19</v>
      </c>
      <c r="I16" s="5"/>
    </row>
    <row r="17" spans="1:9" x14ac:dyDescent="0.2">
      <c r="A17" s="5" t="s">
        <v>61</v>
      </c>
      <c r="B17" s="5" t="s">
        <v>54</v>
      </c>
      <c r="C17" s="5" t="s">
        <v>38</v>
      </c>
      <c r="D17" s="8">
        <v>45681</v>
      </c>
      <c r="E17" s="5" t="s">
        <v>49</v>
      </c>
      <c r="F17" s="12">
        <v>1696.57</v>
      </c>
      <c r="G17" s="5" t="s">
        <v>62</v>
      </c>
      <c r="H17" s="5" t="s">
        <v>19</v>
      </c>
      <c r="I17" s="5"/>
    </row>
    <row r="18" spans="1:9" x14ac:dyDescent="0.2">
      <c r="A18" s="5" t="s">
        <v>63</v>
      </c>
      <c r="B18" s="5" t="s">
        <v>16</v>
      </c>
      <c r="C18" s="5" t="s">
        <v>38</v>
      </c>
      <c r="D18" s="8">
        <v>45745</v>
      </c>
      <c r="E18" s="5" t="s">
        <v>30</v>
      </c>
      <c r="F18" s="12">
        <v>1016.41</v>
      </c>
      <c r="G18" s="5" t="s">
        <v>18</v>
      </c>
      <c r="H18" s="5"/>
      <c r="I18" s="5"/>
    </row>
    <row r="19" spans="1:9" x14ac:dyDescent="0.2">
      <c r="A19" s="5" t="s">
        <v>64</v>
      </c>
      <c r="B19" s="5" t="s">
        <v>51</v>
      </c>
      <c r="C19" s="5" t="s">
        <v>45</v>
      </c>
      <c r="D19" s="8">
        <v>45667</v>
      </c>
      <c r="E19" s="5" t="s">
        <v>12</v>
      </c>
      <c r="F19" s="12">
        <v>700.66</v>
      </c>
      <c r="G19" s="5" t="s">
        <v>26</v>
      </c>
      <c r="H19" s="5" t="s">
        <v>46</v>
      </c>
      <c r="I19" s="5"/>
    </row>
    <row r="20" spans="1:9" x14ac:dyDescent="0.2">
      <c r="A20" s="5" t="s">
        <v>65</v>
      </c>
      <c r="B20" s="5" t="s">
        <v>66</v>
      </c>
      <c r="C20" s="5" t="s">
        <v>22</v>
      </c>
      <c r="D20" s="8">
        <v>45712</v>
      </c>
      <c r="E20" s="5" t="s">
        <v>60</v>
      </c>
      <c r="F20" s="12">
        <v>1798.19</v>
      </c>
      <c r="G20" s="5" t="s">
        <v>62</v>
      </c>
      <c r="H20" s="5" t="s">
        <v>31</v>
      </c>
      <c r="I20" s="5"/>
    </row>
    <row r="21" spans="1:9" x14ac:dyDescent="0.2">
      <c r="A21" s="5" t="s">
        <v>67</v>
      </c>
      <c r="B21" s="5" t="s">
        <v>68</v>
      </c>
      <c r="C21" s="5" t="s">
        <v>17</v>
      </c>
      <c r="D21" s="8">
        <v>45726</v>
      </c>
      <c r="E21" s="5" t="s">
        <v>12</v>
      </c>
      <c r="F21" s="12">
        <v>894.27</v>
      </c>
      <c r="G21" s="5" t="s">
        <v>39</v>
      </c>
      <c r="H21" s="5" t="s">
        <v>19</v>
      </c>
      <c r="I21" s="5"/>
    </row>
    <row r="22" spans="1:9" x14ac:dyDescent="0.2">
      <c r="A22" s="5" t="s">
        <v>69</v>
      </c>
      <c r="B22" s="5" t="s">
        <v>51</v>
      </c>
      <c r="C22" s="5" t="s">
        <v>55</v>
      </c>
      <c r="D22" s="8">
        <v>45660</v>
      </c>
      <c r="E22" s="5" t="s">
        <v>60</v>
      </c>
      <c r="F22" s="12">
        <v>614.35</v>
      </c>
      <c r="G22" s="5" t="s">
        <v>62</v>
      </c>
      <c r="H22" s="5" t="s">
        <v>46</v>
      </c>
      <c r="I22" s="5"/>
    </row>
    <row r="23" spans="1:9" x14ac:dyDescent="0.2">
      <c r="A23" s="5" t="s">
        <v>70</v>
      </c>
      <c r="B23" s="5" t="s">
        <v>48</v>
      </c>
      <c r="C23" s="5" t="s">
        <v>42</v>
      </c>
      <c r="D23" s="8">
        <v>45747</v>
      </c>
      <c r="E23" s="5" t="s">
        <v>30</v>
      </c>
      <c r="F23" s="12">
        <v>1835.84</v>
      </c>
      <c r="G23" s="5" t="s">
        <v>26</v>
      </c>
      <c r="H23" s="5" t="s">
        <v>46</v>
      </c>
      <c r="I23" s="5"/>
    </row>
    <row r="24" spans="1:9" x14ac:dyDescent="0.2">
      <c r="A24" s="5" t="s">
        <v>71</v>
      </c>
      <c r="B24" s="5" t="s">
        <v>10</v>
      </c>
      <c r="C24" s="5" t="s">
        <v>22</v>
      </c>
      <c r="D24" s="8">
        <v>45700</v>
      </c>
      <c r="E24" s="5" t="s">
        <v>12</v>
      </c>
      <c r="F24" s="12">
        <v>1741.36</v>
      </c>
      <c r="G24" s="5" t="s">
        <v>39</v>
      </c>
      <c r="H24" s="5" t="s">
        <v>52</v>
      </c>
      <c r="I24" s="5"/>
    </row>
    <row r="25" spans="1:9" x14ac:dyDescent="0.2">
      <c r="A25" s="5" t="s">
        <v>72</v>
      </c>
      <c r="B25" s="5" t="s">
        <v>41</v>
      </c>
      <c r="C25" s="5" t="s">
        <v>38</v>
      </c>
      <c r="D25" s="8">
        <v>45718</v>
      </c>
      <c r="E25" s="5" t="s">
        <v>12</v>
      </c>
      <c r="F25" s="12">
        <v>343.57</v>
      </c>
      <c r="G25" s="5" t="s">
        <v>34</v>
      </c>
      <c r="H25" s="5" t="s">
        <v>19</v>
      </c>
      <c r="I25" s="5"/>
    </row>
    <row r="26" spans="1:9" x14ac:dyDescent="0.2">
      <c r="A26" s="5" t="s">
        <v>73</v>
      </c>
      <c r="B26" s="5" t="s">
        <v>74</v>
      </c>
      <c r="C26" s="5" t="s">
        <v>55</v>
      </c>
      <c r="D26" s="8">
        <v>45663</v>
      </c>
      <c r="E26" s="5" t="s">
        <v>60</v>
      </c>
      <c r="F26" s="12">
        <v>1287.6099999999999</v>
      </c>
      <c r="G26" s="5" t="s">
        <v>62</v>
      </c>
      <c r="H26" s="5" t="s">
        <v>52</v>
      </c>
      <c r="I26" s="5"/>
    </row>
    <row r="27" spans="1:9" x14ac:dyDescent="0.2">
      <c r="A27" s="5" t="s">
        <v>75</v>
      </c>
      <c r="B27" s="5" t="s">
        <v>76</v>
      </c>
      <c r="C27" s="5" t="s">
        <v>22</v>
      </c>
      <c r="D27" s="8">
        <v>45755</v>
      </c>
      <c r="E27" s="5" t="s">
        <v>30</v>
      </c>
      <c r="F27" s="12">
        <v>523.71</v>
      </c>
      <c r="G27" s="5" t="s">
        <v>62</v>
      </c>
      <c r="H27" s="5" t="s">
        <v>19</v>
      </c>
      <c r="I27" s="5"/>
    </row>
    <row r="28" spans="1:9" x14ac:dyDescent="0.2">
      <c r="A28" s="5" t="s">
        <v>77</v>
      </c>
      <c r="B28" s="5" t="s">
        <v>78</v>
      </c>
      <c r="C28" s="5" t="s">
        <v>42</v>
      </c>
      <c r="D28" s="8">
        <v>45777</v>
      </c>
      <c r="E28" s="5" t="s">
        <v>23</v>
      </c>
      <c r="F28" s="12">
        <v>1155.04</v>
      </c>
      <c r="G28" s="5" t="s">
        <v>39</v>
      </c>
      <c r="H28" s="5" t="s">
        <v>14</v>
      </c>
      <c r="I28" s="5"/>
    </row>
    <row r="29" spans="1:9" x14ac:dyDescent="0.2">
      <c r="A29" s="5" t="s">
        <v>79</v>
      </c>
      <c r="B29" s="5" t="s">
        <v>74</v>
      </c>
      <c r="C29" s="5" t="s">
        <v>22</v>
      </c>
      <c r="D29" s="8">
        <v>45714</v>
      </c>
      <c r="E29" s="5" t="s">
        <v>12</v>
      </c>
      <c r="F29" s="12">
        <v>865.6</v>
      </c>
      <c r="G29" s="5" t="s">
        <v>62</v>
      </c>
      <c r="H29" s="5" t="s">
        <v>19</v>
      </c>
      <c r="I29" s="5"/>
    </row>
    <row r="30" spans="1:9" x14ac:dyDescent="0.2">
      <c r="A30" s="5" t="s">
        <v>80</v>
      </c>
      <c r="B30" s="5" t="s">
        <v>68</v>
      </c>
      <c r="C30" s="5" t="s">
        <v>55</v>
      </c>
      <c r="D30" s="8">
        <v>45708</v>
      </c>
      <c r="E30" s="5" t="s">
        <v>49</v>
      </c>
      <c r="F30" s="12">
        <v>681.91</v>
      </c>
      <c r="G30" s="5" t="s">
        <v>18</v>
      </c>
      <c r="H30" s="5" t="s">
        <v>19</v>
      </c>
      <c r="I30" s="5" t="s">
        <v>35</v>
      </c>
    </row>
    <row r="31" spans="1:9" x14ac:dyDescent="0.2">
      <c r="A31" s="5" t="s">
        <v>81</v>
      </c>
      <c r="B31" s="5" t="s">
        <v>41</v>
      </c>
      <c r="C31" s="5" t="s">
        <v>17</v>
      </c>
      <c r="D31" s="8">
        <v>45721</v>
      </c>
      <c r="E31" s="5" t="s">
        <v>60</v>
      </c>
      <c r="F31" s="12">
        <v>1857.15</v>
      </c>
      <c r="G31" s="5" t="s">
        <v>39</v>
      </c>
      <c r="H31" s="5" t="s">
        <v>46</v>
      </c>
      <c r="I31" s="5"/>
    </row>
    <row r="32" spans="1:9" x14ac:dyDescent="0.2">
      <c r="A32" s="5" t="s">
        <v>82</v>
      </c>
      <c r="B32" s="5" t="s">
        <v>78</v>
      </c>
      <c r="C32" s="5" t="s">
        <v>17</v>
      </c>
      <c r="D32" s="8">
        <v>45748</v>
      </c>
      <c r="E32" s="5" t="s">
        <v>12</v>
      </c>
      <c r="F32" s="12">
        <v>1945.1</v>
      </c>
      <c r="G32" s="5" t="s">
        <v>18</v>
      </c>
      <c r="H32" s="5"/>
      <c r="I32" s="5"/>
    </row>
    <row r="33" spans="1:9" x14ac:dyDescent="0.2">
      <c r="A33" s="5" t="s">
        <v>83</v>
      </c>
      <c r="B33" s="5" t="s">
        <v>84</v>
      </c>
      <c r="C33" s="5" t="s">
        <v>29</v>
      </c>
      <c r="D33" s="8">
        <v>45685</v>
      </c>
      <c r="E33" s="5" t="s">
        <v>12</v>
      </c>
      <c r="F33" s="12">
        <v>1153.22</v>
      </c>
      <c r="G33" s="5" t="s">
        <v>13</v>
      </c>
      <c r="H33" s="5" t="s">
        <v>52</v>
      </c>
      <c r="I33" s="5"/>
    </row>
    <row r="34" spans="1:9" x14ac:dyDescent="0.2">
      <c r="A34" s="5" t="s">
        <v>85</v>
      </c>
      <c r="B34" s="5" t="s">
        <v>76</v>
      </c>
      <c r="C34" s="5" t="s">
        <v>38</v>
      </c>
      <c r="D34" s="8">
        <v>45752</v>
      </c>
      <c r="E34" s="5" t="s">
        <v>49</v>
      </c>
      <c r="F34" s="12">
        <v>644.85</v>
      </c>
      <c r="G34" s="5" t="s">
        <v>18</v>
      </c>
      <c r="H34" s="5" t="s">
        <v>27</v>
      </c>
      <c r="I34" s="5" t="s">
        <v>35</v>
      </c>
    </row>
    <row r="35" spans="1:9" x14ac:dyDescent="0.2">
      <c r="A35" s="5" t="s">
        <v>86</v>
      </c>
      <c r="B35" s="5" t="s">
        <v>74</v>
      </c>
      <c r="C35" s="5" t="s">
        <v>22</v>
      </c>
      <c r="D35" s="8">
        <v>45743</v>
      </c>
      <c r="E35" s="5" t="s">
        <v>30</v>
      </c>
      <c r="F35" s="12">
        <v>1797.83</v>
      </c>
      <c r="G35" s="5" t="s">
        <v>18</v>
      </c>
      <c r="H35" s="5" t="s">
        <v>31</v>
      </c>
      <c r="I35" s="5"/>
    </row>
    <row r="36" spans="1:9" x14ac:dyDescent="0.2">
      <c r="A36" s="5" t="s">
        <v>87</v>
      </c>
      <c r="B36" s="5" t="s">
        <v>51</v>
      </c>
      <c r="C36" s="5" t="s">
        <v>17</v>
      </c>
      <c r="D36" s="8">
        <v>45756</v>
      </c>
      <c r="E36" s="5" t="s">
        <v>12</v>
      </c>
      <c r="F36" s="12">
        <v>1794.85</v>
      </c>
      <c r="G36" s="5" t="s">
        <v>26</v>
      </c>
      <c r="H36" s="5" t="s">
        <v>14</v>
      </c>
      <c r="I36" s="5" t="s">
        <v>35</v>
      </c>
    </row>
    <row r="37" spans="1:9" x14ac:dyDescent="0.2">
      <c r="A37" s="5" t="s">
        <v>88</v>
      </c>
      <c r="B37" s="5" t="s">
        <v>68</v>
      </c>
      <c r="C37" s="5" t="s">
        <v>45</v>
      </c>
      <c r="D37" s="8">
        <v>45776</v>
      </c>
      <c r="E37" s="5" t="s">
        <v>30</v>
      </c>
      <c r="F37" s="12">
        <v>449.67</v>
      </c>
      <c r="G37" s="5" t="s">
        <v>18</v>
      </c>
      <c r="H37" s="5"/>
      <c r="I37" s="5"/>
    </row>
    <row r="38" spans="1:9" x14ac:dyDescent="0.2">
      <c r="A38" s="5" t="s">
        <v>89</v>
      </c>
      <c r="B38" s="5" t="s">
        <v>90</v>
      </c>
      <c r="C38" s="5" t="s">
        <v>45</v>
      </c>
      <c r="D38" s="8">
        <v>45746</v>
      </c>
      <c r="E38" s="5" t="s">
        <v>49</v>
      </c>
      <c r="F38" s="12">
        <v>456.64</v>
      </c>
      <c r="G38" s="5" t="s">
        <v>26</v>
      </c>
      <c r="H38" s="5"/>
      <c r="I38" s="5"/>
    </row>
    <row r="39" spans="1:9" x14ac:dyDescent="0.2">
      <c r="A39" s="5" t="s">
        <v>91</v>
      </c>
      <c r="B39" s="5" t="s">
        <v>21</v>
      </c>
      <c r="C39" s="5" t="s">
        <v>42</v>
      </c>
      <c r="D39" s="8">
        <v>45745</v>
      </c>
      <c r="E39" s="5" t="s">
        <v>60</v>
      </c>
      <c r="F39" s="12">
        <v>1265.56</v>
      </c>
      <c r="G39" s="5" t="s">
        <v>39</v>
      </c>
      <c r="H39" s="5" t="s">
        <v>52</v>
      </c>
      <c r="I39" s="5"/>
    </row>
    <row r="40" spans="1:9" x14ac:dyDescent="0.2">
      <c r="A40" s="5" t="s">
        <v>92</v>
      </c>
      <c r="B40" s="5" t="s">
        <v>78</v>
      </c>
      <c r="C40" s="5" t="s">
        <v>22</v>
      </c>
      <c r="D40" s="8">
        <v>45740</v>
      </c>
      <c r="E40" s="5" t="s">
        <v>23</v>
      </c>
      <c r="F40" s="12">
        <v>1039.18</v>
      </c>
      <c r="G40" s="5" t="s">
        <v>39</v>
      </c>
      <c r="H40" s="5" t="s">
        <v>14</v>
      </c>
      <c r="I40" s="5" t="s">
        <v>35</v>
      </c>
    </row>
    <row r="41" spans="1:9" x14ac:dyDescent="0.2">
      <c r="A41" s="5" t="s">
        <v>93</v>
      </c>
      <c r="B41" s="5" t="s">
        <v>51</v>
      </c>
      <c r="C41" s="5" t="s">
        <v>17</v>
      </c>
      <c r="D41" s="8">
        <v>45722</v>
      </c>
      <c r="E41" s="5" t="s">
        <v>23</v>
      </c>
      <c r="F41" s="12">
        <v>1095.83</v>
      </c>
      <c r="G41" s="5" t="s">
        <v>39</v>
      </c>
      <c r="H41" s="5" t="s">
        <v>27</v>
      </c>
      <c r="I41" s="5" t="s">
        <v>35</v>
      </c>
    </row>
    <row r="42" spans="1:9" x14ac:dyDescent="0.2">
      <c r="A42" s="5" t="s">
        <v>94</v>
      </c>
      <c r="B42" s="5" t="s">
        <v>33</v>
      </c>
      <c r="C42" s="5" t="s">
        <v>17</v>
      </c>
      <c r="D42" s="8">
        <v>45682</v>
      </c>
      <c r="E42" s="5" t="s">
        <v>49</v>
      </c>
      <c r="F42" s="12">
        <v>1632.57</v>
      </c>
      <c r="G42" s="5" t="s">
        <v>34</v>
      </c>
      <c r="H42" s="5" t="s">
        <v>31</v>
      </c>
      <c r="I42" s="5"/>
    </row>
    <row r="43" spans="1:9" x14ac:dyDescent="0.2">
      <c r="A43" s="5" t="s">
        <v>95</v>
      </c>
      <c r="B43" s="5" t="s">
        <v>90</v>
      </c>
      <c r="C43" s="5" t="s">
        <v>45</v>
      </c>
      <c r="D43" s="8">
        <v>45719</v>
      </c>
      <c r="E43" s="5" t="s">
        <v>49</v>
      </c>
      <c r="F43" s="12">
        <v>582.92999999999995</v>
      </c>
      <c r="G43" s="5" t="s">
        <v>62</v>
      </c>
      <c r="H43" s="5" t="s">
        <v>14</v>
      </c>
      <c r="I43" s="5"/>
    </row>
    <row r="44" spans="1:9" x14ac:dyDescent="0.2">
      <c r="A44" s="5" t="s">
        <v>96</v>
      </c>
      <c r="B44" s="5" t="s">
        <v>66</v>
      </c>
      <c r="C44" s="5" t="s">
        <v>17</v>
      </c>
      <c r="D44" s="8">
        <v>45753</v>
      </c>
      <c r="E44" s="5" t="s">
        <v>12</v>
      </c>
      <c r="F44" s="12">
        <v>531.78</v>
      </c>
      <c r="G44" s="5" t="s">
        <v>34</v>
      </c>
      <c r="H44" s="5"/>
      <c r="I44" s="5"/>
    </row>
    <row r="45" spans="1:9" x14ac:dyDescent="0.2">
      <c r="A45" s="5" t="s">
        <v>97</v>
      </c>
      <c r="B45" s="5" t="s">
        <v>10</v>
      </c>
      <c r="C45" s="5" t="s">
        <v>38</v>
      </c>
      <c r="D45" s="8">
        <v>45734</v>
      </c>
      <c r="E45" s="5" t="s">
        <v>49</v>
      </c>
      <c r="F45" s="12">
        <v>1918.56</v>
      </c>
      <c r="G45" s="5" t="s">
        <v>34</v>
      </c>
      <c r="H45" s="5" t="s">
        <v>31</v>
      </c>
      <c r="I45" s="5"/>
    </row>
    <row r="46" spans="1:9" x14ac:dyDescent="0.2">
      <c r="A46" s="5" t="s">
        <v>98</v>
      </c>
      <c r="B46" s="5" t="s">
        <v>99</v>
      </c>
      <c r="C46" s="5" t="s">
        <v>17</v>
      </c>
      <c r="D46" s="8">
        <v>45735</v>
      </c>
      <c r="E46" s="5" t="s">
        <v>30</v>
      </c>
      <c r="F46" s="12">
        <v>269.08</v>
      </c>
      <c r="G46" s="5" t="s">
        <v>26</v>
      </c>
      <c r="H46" s="5" t="s">
        <v>19</v>
      </c>
      <c r="I46" s="5" t="s">
        <v>35</v>
      </c>
    </row>
    <row r="47" spans="1:9" x14ac:dyDescent="0.2">
      <c r="A47" s="5" t="s">
        <v>100</v>
      </c>
      <c r="B47" s="5" t="s">
        <v>37</v>
      </c>
      <c r="C47" s="5" t="s">
        <v>38</v>
      </c>
      <c r="D47" s="8">
        <v>45728</v>
      </c>
      <c r="E47" s="5" t="s">
        <v>23</v>
      </c>
      <c r="F47" s="12">
        <v>1788.9</v>
      </c>
      <c r="G47" s="5" t="s">
        <v>26</v>
      </c>
      <c r="H47" s="5" t="s">
        <v>31</v>
      </c>
      <c r="I47" s="5"/>
    </row>
    <row r="48" spans="1:9" x14ac:dyDescent="0.2">
      <c r="A48" s="5" t="s">
        <v>101</v>
      </c>
      <c r="B48" s="5" t="s">
        <v>54</v>
      </c>
      <c r="C48" s="5" t="s">
        <v>11</v>
      </c>
      <c r="D48" s="8">
        <v>45726</v>
      </c>
      <c r="E48" s="5" t="s">
        <v>60</v>
      </c>
      <c r="F48" s="12">
        <v>1828.01</v>
      </c>
      <c r="G48" s="5" t="s">
        <v>18</v>
      </c>
      <c r="H48" s="5" t="s">
        <v>27</v>
      </c>
      <c r="I48" s="5"/>
    </row>
    <row r="49" spans="1:9" x14ac:dyDescent="0.2">
      <c r="A49" s="5" t="s">
        <v>102</v>
      </c>
      <c r="B49" s="5" t="s">
        <v>16</v>
      </c>
      <c r="C49" s="5" t="s">
        <v>55</v>
      </c>
      <c r="D49" s="8">
        <v>45692</v>
      </c>
      <c r="E49" s="5" t="s">
        <v>60</v>
      </c>
      <c r="F49" s="12">
        <v>683.38</v>
      </c>
      <c r="G49" s="5" t="s">
        <v>62</v>
      </c>
      <c r="H49" s="5" t="s">
        <v>27</v>
      </c>
      <c r="I49" s="5"/>
    </row>
    <row r="50" spans="1:9" x14ac:dyDescent="0.2">
      <c r="A50" s="5" t="s">
        <v>103</v>
      </c>
      <c r="B50" s="5" t="s">
        <v>76</v>
      </c>
      <c r="C50" s="5" t="s">
        <v>42</v>
      </c>
      <c r="D50" s="8">
        <v>45662</v>
      </c>
      <c r="E50" s="5" t="s">
        <v>23</v>
      </c>
      <c r="F50" s="12">
        <v>681.4</v>
      </c>
      <c r="G50" s="5" t="s">
        <v>13</v>
      </c>
      <c r="H50" s="5" t="s">
        <v>27</v>
      </c>
      <c r="I50" s="5"/>
    </row>
    <row r="51" spans="1:9" x14ac:dyDescent="0.2">
      <c r="A51" s="5" t="s">
        <v>104</v>
      </c>
      <c r="B51" s="5" t="s">
        <v>74</v>
      </c>
      <c r="C51" s="5" t="s">
        <v>22</v>
      </c>
      <c r="D51" s="8">
        <v>45751</v>
      </c>
      <c r="E51" s="5" t="s">
        <v>23</v>
      </c>
      <c r="F51" s="12">
        <v>128.4</v>
      </c>
      <c r="G51" s="5" t="s">
        <v>62</v>
      </c>
      <c r="H51" s="5" t="s">
        <v>19</v>
      </c>
      <c r="I51" s="5"/>
    </row>
    <row r="52" spans="1:9" x14ac:dyDescent="0.2">
      <c r="A52" s="5" t="s">
        <v>105</v>
      </c>
      <c r="B52" s="5" t="s">
        <v>57</v>
      </c>
      <c r="C52" s="5" t="s">
        <v>45</v>
      </c>
      <c r="D52" s="8">
        <v>45670</v>
      </c>
      <c r="E52" s="5" t="s">
        <v>49</v>
      </c>
      <c r="F52" s="12">
        <v>537.54</v>
      </c>
      <c r="G52" s="5" t="s">
        <v>13</v>
      </c>
      <c r="H52" s="5" t="s">
        <v>52</v>
      </c>
      <c r="I52" s="5"/>
    </row>
    <row r="53" spans="1:9" x14ac:dyDescent="0.2">
      <c r="A53" s="5" t="s">
        <v>106</v>
      </c>
      <c r="B53" s="5" t="s">
        <v>68</v>
      </c>
      <c r="C53" s="5" t="s">
        <v>29</v>
      </c>
      <c r="D53" s="8">
        <v>45749</v>
      </c>
      <c r="E53" s="5" t="s">
        <v>12</v>
      </c>
      <c r="F53" s="12">
        <v>1865.6</v>
      </c>
      <c r="G53" s="5" t="s">
        <v>18</v>
      </c>
      <c r="H53" s="5"/>
      <c r="I53" s="5"/>
    </row>
    <row r="54" spans="1:9" x14ac:dyDescent="0.2">
      <c r="A54" s="5" t="s">
        <v>107</v>
      </c>
      <c r="B54" s="5" t="s">
        <v>25</v>
      </c>
      <c r="C54" s="5" t="s">
        <v>29</v>
      </c>
      <c r="D54" s="8">
        <v>45726</v>
      </c>
      <c r="E54" s="5" t="s">
        <v>60</v>
      </c>
      <c r="F54" s="12">
        <v>143.1</v>
      </c>
      <c r="G54" s="5" t="s">
        <v>39</v>
      </c>
      <c r="H54" s="5" t="s">
        <v>52</v>
      </c>
      <c r="I54" s="5"/>
    </row>
    <row r="55" spans="1:9" x14ac:dyDescent="0.2">
      <c r="A55" s="5" t="s">
        <v>108</v>
      </c>
      <c r="B55" s="5" t="s">
        <v>48</v>
      </c>
      <c r="C55" s="5" t="s">
        <v>38</v>
      </c>
      <c r="D55" s="8">
        <v>45671</v>
      </c>
      <c r="E55" s="5" t="s">
        <v>12</v>
      </c>
      <c r="F55" s="12">
        <v>225.37</v>
      </c>
      <c r="G55" s="5" t="s">
        <v>13</v>
      </c>
      <c r="H55" s="5" t="s">
        <v>31</v>
      </c>
      <c r="I55" s="5"/>
    </row>
    <row r="56" spans="1:9" x14ac:dyDescent="0.2">
      <c r="A56" s="5" t="s">
        <v>109</v>
      </c>
      <c r="B56" s="5" t="s">
        <v>57</v>
      </c>
      <c r="C56" s="5" t="s">
        <v>22</v>
      </c>
      <c r="D56" s="8">
        <v>45776</v>
      </c>
      <c r="E56" s="5" t="s">
        <v>12</v>
      </c>
      <c r="F56" s="12">
        <v>1408.54</v>
      </c>
      <c r="G56" s="5" t="s">
        <v>34</v>
      </c>
      <c r="H56" s="5" t="s">
        <v>52</v>
      </c>
      <c r="I56" s="5"/>
    </row>
    <row r="57" spans="1:9" x14ac:dyDescent="0.2">
      <c r="A57" s="5" t="s">
        <v>110</v>
      </c>
      <c r="B57" s="5" t="s">
        <v>66</v>
      </c>
      <c r="C57" s="5" t="s">
        <v>11</v>
      </c>
      <c r="D57" s="8">
        <v>45766</v>
      </c>
      <c r="E57" s="5" t="s">
        <v>60</v>
      </c>
      <c r="F57" s="12">
        <v>751.35</v>
      </c>
      <c r="G57" s="5" t="s">
        <v>26</v>
      </c>
      <c r="H57" s="5" t="s">
        <v>14</v>
      </c>
      <c r="I57" s="5"/>
    </row>
    <row r="58" spans="1:9" x14ac:dyDescent="0.2">
      <c r="A58" s="5" t="s">
        <v>111</v>
      </c>
      <c r="B58" s="5" t="s">
        <v>41</v>
      </c>
      <c r="C58" s="5" t="s">
        <v>38</v>
      </c>
      <c r="D58" s="8">
        <v>45769</v>
      </c>
      <c r="E58" s="5" t="s">
        <v>12</v>
      </c>
      <c r="F58" s="12">
        <v>1098.52</v>
      </c>
      <c r="G58" s="5" t="s">
        <v>62</v>
      </c>
      <c r="H58" s="5" t="s">
        <v>52</v>
      </c>
      <c r="I58" s="5"/>
    </row>
    <row r="59" spans="1:9" x14ac:dyDescent="0.2">
      <c r="A59" s="5" t="s">
        <v>112</v>
      </c>
      <c r="B59" s="5" t="s">
        <v>66</v>
      </c>
      <c r="C59" s="5" t="s">
        <v>45</v>
      </c>
      <c r="D59" s="8">
        <v>45743</v>
      </c>
      <c r="E59" s="5" t="s">
        <v>12</v>
      </c>
      <c r="F59" s="12">
        <v>24.32</v>
      </c>
      <c r="G59" s="5" t="s">
        <v>34</v>
      </c>
      <c r="H59" s="5" t="s">
        <v>52</v>
      </c>
      <c r="I59" s="5"/>
    </row>
    <row r="60" spans="1:9" x14ac:dyDescent="0.2">
      <c r="A60" s="5" t="s">
        <v>113</v>
      </c>
      <c r="B60" s="5" t="s">
        <v>66</v>
      </c>
      <c r="C60" s="5" t="s">
        <v>38</v>
      </c>
      <c r="D60" s="8">
        <v>45736</v>
      </c>
      <c r="E60" s="5" t="s">
        <v>49</v>
      </c>
      <c r="F60" s="12"/>
      <c r="G60" s="5" t="s">
        <v>62</v>
      </c>
      <c r="H60" s="5"/>
      <c r="I60" s="5"/>
    </row>
    <row r="61" spans="1:9" x14ac:dyDescent="0.2">
      <c r="A61" s="5" t="s">
        <v>114</v>
      </c>
      <c r="B61" s="5" t="s">
        <v>51</v>
      </c>
      <c r="C61" s="5" t="s">
        <v>55</v>
      </c>
      <c r="D61" s="8">
        <v>45677</v>
      </c>
      <c r="E61" s="5" t="s">
        <v>23</v>
      </c>
      <c r="F61" s="12">
        <v>154.57</v>
      </c>
      <c r="G61" s="5" t="s">
        <v>13</v>
      </c>
      <c r="H61" s="5" t="s">
        <v>27</v>
      </c>
      <c r="I61" s="5"/>
    </row>
    <row r="62" spans="1:9" x14ac:dyDescent="0.2">
      <c r="A62" s="5" t="s">
        <v>115</v>
      </c>
      <c r="B62" s="5" t="s">
        <v>51</v>
      </c>
      <c r="C62" s="5" t="s">
        <v>42</v>
      </c>
      <c r="D62" s="8">
        <v>45723</v>
      </c>
      <c r="E62" s="5" t="s">
        <v>12</v>
      </c>
      <c r="F62" s="12">
        <v>209.22</v>
      </c>
      <c r="G62" s="5" t="s">
        <v>34</v>
      </c>
      <c r="H62" s="5" t="s">
        <v>19</v>
      </c>
      <c r="I62" s="5" t="s">
        <v>35</v>
      </c>
    </row>
    <row r="63" spans="1:9" x14ac:dyDescent="0.2">
      <c r="A63" s="5" t="s">
        <v>116</v>
      </c>
      <c r="B63" s="5" t="s">
        <v>21</v>
      </c>
      <c r="C63" s="5" t="s">
        <v>11</v>
      </c>
      <c r="D63" s="8">
        <v>45723</v>
      </c>
      <c r="E63" s="5" t="s">
        <v>30</v>
      </c>
      <c r="F63" s="12">
        <v>1201.18</v>
      </c>
      <c r="G63" s="5" t="s">
        <v>62</v>
      </c>
      <c r="H63" s="5" t="s">
        <v>27</v>
      </c>
      <c r="I63" s="5"/>
    </row>
    <row r="64" spans="1:9" x14ac:dyDescent="0.2">
      <c r="A64" s="5" t="s">
        <v>117</v>
      </c>
      <c r="B64" s="5" t="s">
        <v>10</v>
      </c>
      <c r="C64" s="5" t="s">
        <v>42</v>
      </c>
      <c r="D64" s="8">
        <v>45702</v>
      </c>
      <c r="E64" s="5" t="s">
        <v>49</v>
      </c>
      <c r="F64" s="12">
        <v>575.32000000000005</v>
      </c>
      <c r="G64" s="5" t="s">
        <v>34</v>
      </c>
      <c r="H64" s="5" t="s">
        <v>27</v>
      </c>
      <c r="I64" s="5"/>
    </row>
    <row r="65" spans="1:9" x14ac:dyDescent="0.2">
      <c r="A65" s="5" t="s">
        <v>118</v>
      </c>
      <c r="B65" s="5" t="s">
        <v>57</v>
      </c>
      <c r="C65" s="5" t="s">
        <v>29</v>
      </c>
      <c r="D65" s="8">
        <v>45747</v>
      </c>
      <c r="E65" s="5" t="s">
        <v>30</v>
      </c>
      <c r="F65" s="12">
        <v>1764.95</v>
      </c>
      <c r="G65" s="5" t="s">
        <v>26</v>
      </c>
      <c r="H65" s="5" t="s">
        <v>52</v>
      </c>
      <c r="I65" s="5"/>
    </row>
    <row r="66" spans="1:9" x14ac:dyDescent="0.2">
      <c r="A66" s="5" t="s">
        <v>119</v>
      </c>
      <c r="B66" s="5" t="s">
        <v>33</v>
      </c>
      <c r="C66" s="5" t="s">
        <v>45</v>
      </c>
      <c r="D66" s="8">
        <v>45711</v>
      </c>
      <c r="E66" s="5" t="s">
        <v>49</v>
      </c>
      <c r="F66" s="12">
        <v>854.7</v>
      </c>
      <c r="G66" s="5" t="s">
        <v>26</v>
      </c>
      <c r="H66" s="5" t="s">
        <v>31</v>
      </c>
      <c r="I66" s="5"/>
    </row>
    <row r="67" spans="1:9" x14ac:dyDescent="0.2">
      <c r="A67" s="5" t="s">
        <v>120</v>
      </c>
      <c r="B67" s="5" t="s">
        <v>76</v>
      </c>
      <c r="C67" s="5" t="s">
        <v>11</v>
      </c>
      <c r="D67" s="8">
        <v>45777</v>
      </c>
      <c r="E67" s="5" t="s">
        <v>23</v>
      </c>
      <c r="F67" s="12">
        <v>1928.67</v>
      </c>
      <c r="G67" s="5" t="s">
        <v>39</v>
      </c>
      <c r="H67" s="5" t="s">
        <v>52</v>
      </c>
      <c r="I67" s="5"/>
    </row>
    <row r="68" spans="1:9" x14ac:dyDescent="0.2">
      <c r="A68" s="5" t="s">
        <v>121</v>
      </c>
      <c r="B68" s="5" t="s">
        <v>48</v>
      </c>
      <c r="C68" s="5" t="s">
        <v>11</v>
      </c>
      <c r="D68" s="8">
        <v>45671</v>
      </c>
      <c r="E68" s="5" t="s">
        <v>49</v>
      </c>
      <c r="F68" s="12">
        <v>433.79</v>
      </c>
      <c r="G68" s="5" t="s">
        <v>34</v>
      </c>
      <c r="H68" s="5" t="s">
        <v>46</v>
      </c>
      <c r="I68" s="5"/>
    </row>
    <row r="69" spans="1:9" x14ac:dyDescent="0.2">
      <c r="A69" s="5" t="s">
        <v>122</v>
      </c>
      <c r="B69" s="5" t="s">
        <v>66</v>
      </c>
      <c r="C69" s="5" t="s">
        <v>17</v>
      </c>
      <c r="D69" s="8">
        <v>45773</v>
      </c>
      <c r="E69" s="5" t="s">
        <v>12</v>
      </c>
      <c r="F69" s="12">
        <v>823.92</v>
      </c>
      <c r="G69" s="5"/>
      <c r="H69" s="5" t="s">
        <v>46</v>
      </c>
      <c r="I69" s="5"/>
    </row>
    <row r="70" spans="1:9" x14ac:dyDescent="0.2">
      <c r="A70" s="5" t="s">
        <v>123</v>
      </c>
      <c r="B70" s="5" t="s">
        <v>59</v>
      </c>
      <c r="C70" s="5" t="s">
        <v>45</v>
      </c>
      <c r="D70" s="8">
        <v>45769</v>
      </c>
      <c r="E70" s="5" t="s">
        <v>23</v>
      </c>
      <c r="F70" s="12">
        <v>71.38</v>
      </c>
      <c r="G70" s="5" t="s">
        <v>26</v>
      </c>
      <c r="H70" s="5" t="s">
        <v>46</v>
      </c>
      <c r="I70" s="5" t="s">
        <v>35</v>
      </c>
    </row>
    <row r="71" spans="1:9" x14ac:dyDescent="0.2">
      <c r="A71" s="5" t="s">
        <v>124</v>
      </c>
      <c r="B71" s="5" t="s">
        <v>16</v>
      </c>
      <c r="C71" s="5" t="s">
        <v>45</v>
      </c>
      <c r="D71" s="8">
        <v>45748</v>
      </c>
      <c r="E71" s="5" t="s">
        <v>12</v>
      </c>
      <c r="F71" s="12">
        <v>335.09</v>
      </c>
      <c r="G71" s="5" t="s">
        <v>39</v>
      </c>
      <c r="H71" s="5"/>
      <c r="I71" s="5"/>
    </row>
    <row r="72" spans="1:9" x14ac:dyDescent="0.2">
      <c r="A72" s="5" t="s">
        <v>125</v>
      </c>
      <c r="B72" s="5" t="s">
        <v>84</v>
      </c>
      <c r="C72" s="5" t="s">
        <v>42</v>
      </c>
      <c r="D72" s="8">
        <v>45733</v>
      </c>
      <c r="E72" s="5" t="s">
        <v>30</v>
      </c>
      <c r="F72" s="12">
        <v>797.49</v>
      </c>
      <c r="G72" s="5" t="s">
        <v>13</v>
      </c>
      <c r="H72" s="5" t="s">
        <v>52</v>
      </c>
      <c r="I72" s="5"/>
    </row>
    <row r="73" spans="1:9" x14ac:dyDescent="0.2">
      <c r="A73" s="5" t="s">
        <v>126</v>
      </c>
      <c r="B73" s="5" t="s">
        <v>41</v>
      </c>
      <c r="C73" s="5" t="s">
        <v>55</v>
      </c>
      <c r="D73" s="8">
        <v>45682</v>
      </c>
      <c r="E73" s="5" t="s">
        <v>30</v>
      </c>
      <c r="F73" s="12"/>
      <c r="G73" s="5" t="s">
        <v>18</v>
      </c>
      <c r="H73" s="5" t="s">
        <v>52</v>
      </c>
      <c r="I73" s="5" t="s">
        <v>35</v>
      </c>
    </row>
    <row r="74" spans="1:9" x14ac:dyDescent="0.2">
      <c r="A74" s="5" t="s">
        <v>127</v>
      </c>
      <c r="B74" s="5" t="s">
        <v>10</v>
      </c>
      <c r="C74" s="5" t="s">
        <v>55</v>
      </c>
      <c r="D74" s="8">
        <v>45744</v>
      </c>
      <c r="E74" s="5" t="s">
        <v>30</v>
      </c>
      <c r="F74" s="12">
        <v>1638.45</v>
      </c>
      <c r="G74" s="5" t="s">
        <v>13</v>
      </c>
      <c r="H74" s="5" t="s">
        <v>19</v>
      </c>
      <c r="I74" s="5"/>
    </row>
    <row r="75" spans="1:9" x14ac:dyDescent="0.2">
      <c r="A75" s="5" t="s">
        <v>128</v>
      </c>
      <c r="B75" s="5" t="s">
        <v>41</v>
      </c>
      <c r="C75" s="5" t="s">
        <v>11</v>
      </c>
      <c r="D75" s="8">
        <v>45662</v>
      </c>
      <c r="E75" s="5" t="s">
        <v>60</v>
      </c>
      <c r="F75" s="12">
        <v>992.2</v>
      </c>
      <c r="G75" s="5" t="s">
        <v>13</v>
      </c>
      <c r="H75" s="5"/>
      <c r="I75" s="5"/>
    </row>
    <row r="76" spans="1:9" x14ac:dyDescent="0.2">
      <c r="A76" s="5" t="s">
        <v>129</v>
      </c>
      <c r="B76" s="5" t="s">
        <v>68</v>
      </c>
      <c r="C76" s="5" t="s">
        <v>38</v>
      </c>
      <c r="D76" s="8">
        <v>45679</v>
      </c>
      <c r="E76" s="5" t="s">
        <v>23</v>
      </c>
      <c r="F76" s="12">
        <v>1748.4</v>
      </c>
      <c r="G76" s="5" t="s">
        <v>18</v>
      </c>
      <c r="H76" s="5" t="s">
        <v>46</v>
      </c>
      <c r="I76" s="5"/>
    </row>
    <row r="77" spans="1:9" x14ac:dyDescent="0.2">
      <c r="A77" s="5" t="s">
        <v>130</v>
      </c>
      <c r="B77" s="5" t="s">
        <v>48</v>
      </c>
      <c r="C77" s="5" t="s">
        <v>38</v>
      </c>
      <c r="D77" s="8">
        <v>45778</v>
      </c>
      <c r="E77" s="5" t="s">
        <v>49</v>
      </c>
      <c r="F77" s="12">
        <v>1510.91</v>
      </c>
      <c r="G77" s="5" t="s">
        <v>26</v>
      </c>
      <c r="H77" s="5" t="s">
        <v>19</v>
      </c>
      <c r="I77" s="5"/>
    </row>
    <row r="78" spans="1:9" x14ac:dyDescent="0.2">
      <c r="A78" s="5" t="s">
        <v>131</v>
      </c>
      <c r="B78" s="5" t="s">
        <v>90</v>
      </c>
      <c r="C78" s="5" t="s">
        <v>17</v>
      </c>
      <c r="D78" s="8">
        <v>45732</v>
      </c>
      <c r="E78" s="5" t="s">
        <v>49</v>
      </c>
      <c r="F78" s="12">
        <v>151.66</v>
      </c>
      <c r="G78" s="5" t="s">
        <v>13</v>
      </c>
      <c r="H78" s="5" t="s">
        <v>19</v>
      </c>
      <c r="I78" s="5"/>
    </row>
    <row r="79" spans="1:9" x14ac:dyDescent="0.2">
      <c r="A79" s="5" t="s">
        <v>132</v>
      </c>
      <c r="B79" s="5" t="s">
        <v>25</v>
      </c>
      <c r="C79" s="5" t="s">
        <v>55</v>
      </c>
      <c r="D79" s="8">
        <v>45682</v>
      </c>
      <c r="E79" s="5" t="s">
        <v>12</v>
      </c>
      <c r="F79" s="12">
        <v>453.37</v>
      </c>
      <c r="G79" s="5" t="s">
        <v>18</v>
      </c>
      <c r="H79" s="5" t="s">
        <v>52</v>
      </c>
      <c r="I79" s="5"/>
    </row>
    <row r="80" spans="1:9" x14ac:dyDescent="0.2">
      <c r="A80" s="5" t="s">
        <v>133</v>
      </c>
      <c r="B80" s="5" t="s">
        <v>25</v>
      </c>
      <c r="C80" s="5" t="s">
        <v>42</v>
      </c>
      <c r="D80" s="8">
        <v>45713</v>
      </c>
      <c r="E80" s="5" t="s">
        <v>60</v>
      </c>
      <c r="F80" s="12">
        <v>279.97000000000003</v>
      </c>
      <c r="G80" s="5" t="s">
        <v>26</v>
      </c>
      <c r="H80" s="5" t="s">
        <v>46</v>
      </c>
      <c r="I80" s="5"/>
    </row>
    <row r="81" spans="1:9" x14ac:dyDescent="0.2">
      <c r="A81" s="5" t="s">
        <v>134</v>
      </c>
      <c r="B81" s="5" t="s">
        <v>21</v>
      </c>
      <c r="C81" s="5" t="s">
        <v>45</v>
      </c>
      <c r="D81" s="8">
        <v>45740</v>
      </c>
      <c r="E81" s="5" t="s">
        <v>12</v>
      </c>
      <c r="F81" s="12">
        <v>1329.83</v>
      </c>
      <c r="G81" s="5" t="s">
        <v>39</v>
      </c>
      <c r="H81" s="5" t="s">
        <v>46</v>
      </c>
      <c r="I81" s="5" t="s">
        <v>35</v>
      </c>
    </row>
    <row r="82" spans="1:9" x14ac:dyDescent="0.2">
      <c r="A82" s="5" t="s">
        <v>135</v>
      </c>
      <c r="B82" s="5" t="s">
        <v>78</v>
      </c>
      <c r="C82" s="5" t="s">
        <v>42</v>
      </c>
      <c r="D82" s="8">
        <v>45703</v>
      </c>
      <c r="E82" s="5" t="s">
        <v>60</v>
      </c>
      <c r="F82" s="12">
        <v>1448.24</v>
      </c>
      <c r="G82" s="5" t="s">
        <v>13</v>
      </c>
      <c r="H82" s="5" t="s">
        <v>14</v>
      </c>
      <c r="I82" s="5"/>
    </row>
    <row r="83" spans="1:9" x14ac:dyDescent="0.2">
      <c r="A83" s="5" t="s">
        <v>136</v>
      </c>
      <c r="B83" s="5" t="s">
        <v>51</v>
      </c>
      <c r="C83" s="5" t="s">
        <v>29</v>
      </c>
      <c r="D83" s="8">
        <v>45748</v>
      </c>
      <c r="E83" s="5" t="s">
        <v>12</v>
      </c>
      <c r="F83" s="12">
        <v>1164.48</v>
      </c>
      <c r="G83" s="5"/>
      <c r="H83" s="5" t="s">
        <v>27</v>
      </c>
      <c r="I83" s="5" t="s">
        <v>35</v>
      </c>
    </row>
    <row r="84" spans="1:9" x14ac:dyDescent="0.2">
      <c r="A84" s="5" t="s">
        <v>137</v>
      </c>
      <c r="B84" s="5" t="s">
        <v>16</v>
      </c>
      <c r="C84" s="5" t="s">
        <v>42</v>
      </c>
      <c r="D84" s="8">
        <v>45717</v>
      </c>
      <c r="E84" s="5" t="s">
        <v>30</v>
      </c>
      <c r="F84" s="12">
        <v>1296.93</v>
      </c>
      <c r="G84" s="5" t="s">
        <v>39</v>
      </c>
      <c r="H84" s="5" t="s">
        <v>27</v>
      </c>
      <c r="I84" s="5"/>
    </row>
    <row r="85" spans="1:9" x14ac:dyDescent="0.2">
      <c r="A85" s="5" t="s">
        <v>138</v>
      </c>
      <c r="B85" s="5" t="s">
        <v>78</v>
      </c>
      <c r="C85" s="5" t="s">
        <v>17</v>
      </c>
      <c r="D85" s="8">
        <v>45726</v>
      </c>
      <c r="E85" s="5" t="s">
        <v>23</v>
      </c>
      <c r="F85" s="12">
        <v>1857.89</v>
      </c>
      <c r="G85" s="5" t="s">
        <v>34</v>
      </c>
      <c r="H85" s="5" t="s">
        <v>31</v>
      </c>
      <c r="I85" s="5"/>
    </row>
    <row r="86" spans="1:9" x14ac:dyDescent="0.2">
      <c r="A86" s="5" t="s">
        <v>139</v>
      </c>
      <c r="B86" s="5" t="s">
        <v>99</v>
      </c>
      <c r="C86" s="5" t="s">
        <v>42</v>
      </c>
      <c r="D86" s="8">
        <v>45771</v>
      </c>
      <c r="E86" s="5" t="s">
        <v>12</v>
      </c>
      <c r="F86" s="12">
        <v>64.44</v>
      </c>
      <c r="G86" s="5" t="s">
        <v>62</v>
      </c>
      <c r="H86" s="5" t="s">
        <v>27</v>
      </c>
      <c r="I86" s="5"/>
    </row>
    <row r="87" spans="1:9" x14ac:dyDescent="0.2">
      <c r="A87" s="5" t="s">
        <v>140</v>
      </c>
      <c r="B87" s="5" t="s">
        <v>48</v>
      </c>
      <c r="C87" s="5" t="s">
        <v>55</v>
      </c>
      <c r="D87" s="8">
        <v>45678</v>
      </c>
      <c r="E87" s="5" t="s">
        <v>12</v>
      </c>
      <c r="F87" s="12">
        <v>264.74</v>
      </c>
      <c r="G87" s="5" t="s">
        <v>18</v>
      </c>
      <c r="H87" s="5" t="s">
        <v>14</v>
      </c>
      <c r="I87" s="5"/>
    </row>
    <row r="88" spans="1:9" x14ac:dyDescent="0.2">
      <c r="A88" s="5" t="s">
        <v>141</v>
      </c>
      <c r="B88" s="5" t="s">
        <v>16</v>
      </c>
      <c r="C88" s="5" t="s">
        <v>22</v>
      </c>
      <c r="D88" s="8">
        <v>45675</v>
      </c>
      <c r="E88" s="5" t="s">
        <v>12</v>
      </c>
      <c r="F88" s="12">
        <v>1533.26</v>
      </c>
      <c r="G88" s="5" t="s">
        <v>26</v>
      </c>
      <c r="H88" s="5"/>
      <c r="I88" s="5"/>
    </row>
    <row r="89" spans="1:9" x14ac:dyDescent="0.2">
      <c r="A89" s="5" t="s">
        <v>142</v>
      </c>
      <c r="B89" s="5" t="s">
        <v>33</v>
      </c>
      <c r="C89" s="5" t="s">
        <v>11</v>
      </c>
      <c r="D89" s="8">
        <v>45743</v>
      </c>
      <c r="E89" s="5" t="s">
        <v>23</v>
      </c>
      <c r="F89" s="12">
        <v>325.74</v>
      </c>
      <c r="G89" s="5" t="s">
        <v>26</v>
      </c>
      <c r="H89" s="5" t="s">
        <v>27</v>
      </c>
      <c r="I89" s="5"/>
    </row>
    <row r="90" spans="1:9" x14ac:dyDescent="0.2">
      <c r="A90" s="5" t="s">
        <v>143</v>
      </c>
      <c r="B90" s="5" t="s">
        <v>99</v>
      </c>
      <c r="C90" s="5" t="s">
        <v>42</v>
      </c>
      <c r="D90" s="8">
        <v>45671</v>
      </c>
      <c r="E90" s="5" t="s">
        <v>49</v>
      </c>
      <c r="F90" s="12">
        <v>1237.76</v>
      </c>
      <c r="G90" s="5" t="s">
        <v>34</v>
      </c>
      <c r="H90" s="5" t="s">
        <v>14</v>
      </c>
      <c r="I90" s="5"/>
    </row>
    <row r="91" spans="1:9" x14ac:dyDescent="0.2">
      <c r="A91" s="5" t="s">
        <v>144</v>
      </c>
      <c r="B91" s="5" t="s">
        <v>51</v>
      </c>
      <c r="C91" s="5" t="s">
        <v>29</v>
      </c>
      <c r="D91" s="8">
        <v>45666</v>
      </c>
      <c r="E91" s="5" t="s">
        <v>30</v>
      </c>
      <c r="F91" s="12">
        <v>1150.3599999999999</v>
      </c>
      <c r="G91" s="5" t="s">
        <v>62</v>
      </c>
      <c r="H91" s="5" t="s">
        <v>52</v>
      </c>
      <c r="I91" s="5"/>
    </row>
    <row r="92" spans="1:9" x14ac:dyDescent="0.2">
      <c r="A92" s="5" t="s">
        <v>145</v>
      </c>
      <c r="B92" s="5" t="s">
        <v>51</v>
      </c>
      <c r="C92" s="5" t="s">
        <v>11</v>
      </c>
      <c r="D92" s="8">
        <v>45734</v>
      </c>
      <c r="E92" s="5" t="s">
        <v>60</v>
      </c>
      <c r="F92" s="12">
        <v>1248.1300000000001</v>
      </c>
      <c r="G92" s="5" t="s">
        <v>18</v>
      </c>
      <c r="H92" s="5" t="s">
        <v>14</v>
      </c>
      <c r="I92" s="5"/>
    </row>
    <row r="93" spans="1:9" x14ac:dyDescent="0.2">
      <c r="A93" s="5" t="s">
        <v>146</v>
      </c>
      <c r="B93" s="5" t="s">
        <v>48</v>
      </c>
      <c r="C93" s="5" t="s">
        <v>55</v>
      </c>
      <c r="D93" s="8">
        <v>45673</v>
      </c>
      <c r="E93" s="5" t="s">
        <v>30</v>
      </c>
      <c r="F93" s="12">
        <v>307.52</v>
      </c>
      <c r="G93" s="5" t="s">
        <v>62</v>
      </c>
      <c r="H93" s="5" t="s">
        <v>19</v>
      </c>
      <c r="I93" s="5"/>
    </row>
    <row r="94" spans="1:9" x14ac:dyDescent="0.2">
      <c r="A94" s="5" t="s">
        <v>147</v>
      </c>
      <c r="B94" s="5" t="s">
        <v>48</v>
      </c>
      <c r="C94" s="5" t="s">
        <v>11</v>
      </c>
      <c r="D94" s="8">
        <v>45728</v>
      </c>
      <c r="E94" s="5" t="s">
        <v>23</v>
      </c>
      <c r="F94" s="12">
        <v>771.29</v>
      </c>
      <c r="G94" s="5" t="s">
        <v>39</v>
      </c>
      <c r="H94" s="5" t="s">
        <v>31</v>
      </c>
      <c r="I94" s="5"/>
    </row>
    <row r="95" spans="1:9" x14ac:dyDescent="0.2">
      <c r="A95" s="5" t="s">
        <v>148</v>
      </c>
      <c r="B95" s="5" t="s">
        <v>66</v>
      </c>
      <c r="C95" s="5" t="s">
        <v>22</v>
      </c>
      <c r="D95" s="8">
        <v>45726</v>
      </c>
      <c r="E95" s="5" t="s">
        <v>23</v>
      </c>
      <c r="F95" s="12">
        <v>1300.77</v>
      </c>
      <c r="G95" s="5" t="s">
        <v>62</v>
      </c>
      <c r="H95" s="5" t="s">
        <v>27</v>
      </c>
      <c r="I95" s="5"/>
    </row>
    <row r="96" spans="1:9" x14ac:dyDescent="0.2">
      <c r="A96" s="5" t="s">
        <v>149</v>
      </c>
      <c r="B96" s="5" t="s">
        <v>51</v>
      </c>
      <c r="C96" s="5" t="s">
        <v>42</v>
      </c>
      <c r="D96" s="8">
        <v>45721</v>
      </c>
      <c r="E96" s="5" t="s">
        <v>30</v>
      </c>
      <c r="F96" s="12">
        <v>1906.23</v>
      </c>
      <c r="G96" s="5" t="s">
        <v>62</v>
      </c>
      <c r="H96" s="5"/>
      <c r="I96" s="5"/>
    </row>
    <row r="97" spans="1:9" x14ac:dyDescent="0.2">
      <c r="A97" s="5" t="s">
        <v>150</v>
      </c>
      <c r="B97" s="5" t="s">
        <v>84</v>
      </c>
      <c r="C97" s="5" t="s">
        <v>42</v>
      </c>
      <c r="D97" s="8">
        <v>45667</v>
      </c>
      <c r="E97" s="5" t="s">
        <v>30</v>
      </c>
      <c r="F97" s="12">
        <v>342.37</v>
      </c>
      <c r="G97" s="5" t="s">
        <v>18</v>
      </c>
      <c r="H97" s="5" t="s">
        <v>46</v>
      </c>
      <c r="I97" s="5"/>
    </row>
    <row r="98" spans="1:9" x14ac:dyDescent="0.2">
      <c r="A98" s="5" t="s">
        <v>151</v>
      </c>
      <c r="B98" s="5" t="s">
        <v>66</v>
      </c>
      <c r="C98" s="5" t="s">
        <v>55</v>
      </c>
      <c r="D98" s="8">
        <v>45667</v>
      </c>
      <c r="E98" s="5" t="s">
        <v>30</v>
      </c>
      <c r="F98" s="12"/>
      <c r="G98" s="5" t="s">
        <v>13</v>
      </c>
      <c r="H98" s="5" t="s">
        <v>31</v>
      </c>
      <c r="I98" s="5"/>
    </row>
    <row r="99" spans="1:9" x14ac:dyDescent="0.2">
      <c r="A99" s="5" t="s">
        <v>152</v>
      </c>
      <c r="B99" s="5" t="s">
        <v>76</v>
      </c>
      <c r="C99" s="5" t="s">
        <v>17</v>
      </c>
      <c r="D99" s="8">
        <v>45750</v>
      </c>
      <c r="E99" s="5" t="s">
        <v>49</v>
      </c>
      <c r="F99" s="12">
        <v>1650</v>
      </c>
      <c r="G99" s="5" t="s">
        <v>39</v>
      </c>
      <c r="H99" s="5" t="s">
        <v>27</v>
      </c>
      <c r="I99" s="5"/>
    </row>
    <row r="100" spans="1:9" x14ac:dyDescent="0.2">
      <c r="A100" s="5" t="s">
        <v>153</v>
      </c>
      <c r="B100" s="5" t="s">
        <v>66</v>
      </c>
      <c r="C100" s="5" t="s">
        <v>11</v>
      </c>
      <c r="D100" s="8">
        <v>45676</v>
      </c>
      <c r="E100" s="5" t="s">
        <v>60</v>
      </c>
      <c r="F100" s="12">
        <v>665.62</v>
      </c>
      <c r="G100" s="5" t="s">
        <v>39</v>
      </c>
      <c r="H100" s="5"/>
      <c r="I100" s="5"/>
    </row>
    <row r="101" spans="1:9" x14ac:dyDescent="0.2">
      <c r="A101" s="5" t="s">
        <v>154</v>
      </c>
      <c r="B101" s="5" t="s">
        <v>10</v>
      </c>
      <c r="C101" s="5" t="s">
        <v>55</v>
      </c>
      <c r="D101" s="8">
        <v>45731</v>
      </c>
      <c r="E101" s="5" t="s">
        <v>60</v>
      </c>
      <c r="F101" s="12">
        <v>1278.04</v>
      </c>
      <c r="G101" s="5" t="s">
        <v>26</v>
      </c>
      <c r="H101" s="5" t="s">
        <v>46</v>
      </c>
      <c r="I101" s="5"/>
    </row>
    <row r="102" spans="1:9" x14ac:dyDescent="0.2">
      <c r="A102" s="5" t="s">
        <v>155</v>
      </c>
      <c r="B102" s="5" t="s">
        <v>25</v>
      </c>
      <c r="C102" s="5" t="s">
        <v>11</v>
      </c>
      <c r="D102" s="8">
        <v>45768</v>
      </c>
      <c r="E102" s="5" t="s">
        <v>30</v>
      </c>
      <c r="F102" s="12">
        <v>480.61</v>
      </c>
      <c r="G102" s="5" t="s">
        <v>39</v>
      </c>
      <c r="H102" s="5" t="s">
        <v>52</v>
      </c>
      <c r="I102" s="5"/>
    </row>
    <row r="103" spans="1:9" x14ac:dyDescent="0.2">
      <c r="A103" s="5" t="s">
        <v>156</v>
      </c>
      <c r="B103" s="5" t="s">
        <v>33</v>
      </c>
      <c r="C103" s="5" t="s">
        <v>45</v>
      </c>
      <c r="D103" s="8">
        <v>45763</v>
      </c>
      <c r="E103" s="5" t="s">
        <v>12</v>
      </c>
      <c r="F103" s="12">
        <v>362.54</v>
      </c>
      <c r="G103" s="5" t="s">
        <v>34</v>
      </c>
      <c r="H103" s="5" t="s">
        <v>31</v>
      </c>
      <c r="I103" s="5"/>
    </row>
    <row r="104" spans="1:9" x14ac:dyDescent="0.2">
      <c r="A104" s="5" t="s">
        <v>157</v>
      </c>
      <c r="B104" s="5" t="s">
        <v>76</v>
      </c>
      <c r="C104" s="5" t="s">
        <v>22</v>
      </c>
      <c r="D104" s="8">
        <v>45666</v>
      </c>
      <c r="E104" s="5" t="s">
        <v>12</v>
      </c>
      <c r="F104" s="12">
        <v>826.25</v>
      </c>
      <c r="G104" s="5" t="s">
        <v>13</v>
      </c>
      <c r="H104" s="5" t="s">
        <v>14</v>
      </c>
      <c r="I104" s="5"/>
    </row>
    <row r="105" spans="1:9" x14ac:dyDescent="0.2">
      <c r="A105" s="5" t="s">
        <v>158</v>
      </c>
      <c r="B105" s="5" t="s">
        <v>76</v>
      </c>
      <c r="C105" s="5" t="s">
        <v>11</v>
      </c>
      <c r="D105" s="8">
        <v>45728</v>
      </c>
      <c r="E105" s="5" t="s">
        <v>23</v>
      </c>
      <c r="F105" s="12">
        <v>1092.1500000000001</v>
      </c>
      <c r="G105" s="5" t="s">
        <v>18</v>
      </c>
      <c r="H105" s="5" t="s">
        <v>14</v>
      </c>
      <c r="I105" s="5"/>
    </row>
    <row r="106" spans="1:9" x14ac:dyDescent="0.2">
      <c r="A106" s="5" t="s">
        <v>159</v>
      </c>
      <c r="B106" s="5" t="s">
        <v>16</v>
      </c>
      <c r="C106" s="5" t="s">
        <v>29</v>
      </c>
      <c r="D106" s="8">
        <v>45716</v>
      </c>
      <c r="E106" s="5" t="s">
        <v>23</v>
      </c>
      <c r="F106" s="12">
        <v>390.79</v>
      </c>
      <c r="G106" s="5"/>
      <c r="H106" s="5" t="s">
        <v>52</v>
      </c>
      <c r="I106" s="5"/>
    </row>
    <row r="107" spans="1:9" x14ac:dyDescent="0.2">
      <c r="A107" s="5" t="s">
        <v>160</v>
      </c>
      <c r="B107" s="5" t="s">
        <v>51</v>
      </c>
      <c r="C107" s="5" t="s">
        <v>45</v>
      </c>
      <c r="D107" s="8">
        <v>45726</v>
      </c>
      <c r="E107" s="5" t="s">
        <v>49</v>
      </c>
      <c r="F107" s="12">
        <v>634.41</v>
      </c>
      <c r="G107" s="5" t="s">
        <v>26</v>
      </c>
      <c r="H107" s="5" t="s">
        <v>52</v>
      </c>
      <c r="I107" s="5"/>
    </row>
    <row r="108" spans="1:9" x14ac:dyDescent="0.2">
      <c r="A108" s="5" t="s">
        <v>161</v>
      </c>
      <c r="B108" s="5" t="s">
        <v>54</v>
      </c>
      <c r="C108" s="5" t="s">
        <v>22</v>
      </c>
      <c r="D108" s="8">
        <v>45733</v>
      </c>
      <c r="E108" s="5" t="s">
        <v>12</v>
      </c>
      <c r="F108" s="12">
        <v>798.02</v>
      </c>
      <c r="G108" s="5" t="s">
        <v>34</v>
      </c>
      <c r="H108" s="5" t="s">
        <v>46</v>
      </c>
      <c r="I108" s="5"/>
    </row>
    <row r="109" spans="1:9" x14ac:dyDescent="0.2">
      <c r="A109" s="5" t="s">
        <v>162</v>
      </c>
      <c r="B109" s="5" t="s">
        <v>99</v>
      </c>
      <c r="C109" s="5" t="s">
        <v>29</v>
      </c>
      <c r="D109" s="8">
        <v>45703</v>
      </c>
      <c r="E109" s="5" t="s">
        <v>60</v>
      </c>
      <c r="F109" s="12">
        <v>430.1</v>
      </c>
      <c r="G109" s="5" t="s">
        <v>34</v>
      </c>
      <c r="H109" s="5" t="s">
        <v>31</v>
      </c>
      <c r="I109" s="5" t="s">
        <v>35</v>
      </c>
    </row>
    <row r="110" spans="1:9" x14ac:dyDescent="0.2">
      <c r="A110" s="5" t="s">
        <v>163</v>
      </c>
      <c r="B110" s="5" t="s">
        <v>21</v>
      </c>
      <c r="C110" s="5" t="s">
        <v>55</v>
      </c>
      <c r="D110" s="8">
        <v>45660</v>
      </c>
      <c r="E110" s="5" t="s">
        <v>60</v>
      </c>
      <c r="F110" s="12">
        <v>447.72</v>
      </c>
      <c r="G110" s="5" t="s">
        <v>18</v>
      </c>
      <c r="H110" s="5" t="s">
        <v>46</v>
      </c>
      <c r="I110" s="5"/>
    </row>
    <row r="111" spans="1:9" x14ac:dyDescent="0.2">
      <c r="A111" s="5" t="s">
        <v>164</v>
      </c>
      <c r="B111" s="5" t="s">
        <v>68</v>
      </c>
      <c r="C111" s="5" t="s">
        <v>17</v>
      </c>
      <c r="D111" s="8">
        <v>45737</v>
      </c>
      <c r="E111" s="5" t="s">
        <v>60</v>
      </c>
      <c r="F111" s="12">
        <v>1652.32</v>
      </c>
      <c r="G111" s="5" t="s">
        <v>34</v>
      </c>
      <c r="H111" s="5" t="s">
        <v>31</v>
      </c>
      <c r="I111" s="5"/>
    </row>
    <row r="112" spans="1:9" x14ac:dyDescent="0.2">
      <c r="A112" s="5" t="s">
        <v>165</v>
      </c>
      <c r="B112" s="5" t="s">
        <v>74</v>
      </c>
      <c r="C112" s="5" t="s">
        <v>11</v>
      </c>
      <c r="D112" s="8">
        <v>45676</v>
      </c>
      <c r="E112" s="5" t="s">
        <v>30</v>
      </c>
      <c r="F112" s="12">
        <v>1618.43</v>
      </c>
      <c r="G112" s="5" t="s">
        <v>26</v>
      </c>
      <c r="H112" s="5" t="s">
        <v>52</v>
      </c>
      <c r="I112" s="5"/>
    </row>
    <row r="113" spans="1:9" x14ac:dyDescent="0.2">
      <c r="A113" s="5" t="s">
        <v>166</v>
      </c>
      <c r="B113" s="5" t="s">
        <v>16</v>
      </c>
      <c r="C113" s="5" t="s">
        <v>42</v>
      </c>
      <c r="D113" s="8">
        <v>45771</v>
      </c>
      <c r="E113" s="5" t="s">
        <v>30</v>
      </c>
      <c r="F113" s="12">
        <v>1612.27</v>
      </c>
      <c r="G113" s="5"/>
      <c r="H113" s="5" t="s">
        <v>52</v>
      </c>
      <c r="I113" s="5"/>
    </row>
    <row r="114" spans="1:9" x14ac:dyDescent="0.2">
      <c r="A114" s="5" t="s">
        <v>167</v>
      </c>
      <c r="B114" s="5" t="s">
        <v>21</v>
      </c>
      <c r="C114" s="5" t="s">
        <v>55</v>
      </c>
      <c r="D114" s="8">
        <v>45682</v>
      </c>
      <c r="E114" s="5" t="s">
        <v>23</v>
      </c>
      <c r="F114" s="12">
        <v>1398.1</v>
      </c>
      <c r="G114" s="5" t="s">
        <v>13</v>
      </c>
      <c r="H114" s="5" t="s">
        <v>46</v>
      </c>
      <c r="I114" s="5"/>
    </row>
    <row r="115" spans="1:9" x14ac:dyDescent="0.2">
      <c r="A115" s="5" t="s">
        <v>168</v>
      </c>
      <c r="B115" s="5" t="s">
        <v>99</v>
      </c>
      <c r="C115" s="5" t="s">
        <v>22</v>
      </c>
      <c r="D115" s="8">
        <v>45705</v>
      </c>
      <c r="E115" s="5" t="s">
        <v>49</v>
      </c>
      <c r="F115" s="12">
        <v>1624.53</v>
      </c>
      <c r="G115" s="5" t="s">
        <v>18</v>
      </c>
      <c r="H115" s="5" t="s">
        <v>52</v>
      </c>
      <c r="I115" s="5"/>
    </row>
    <row r="116" spans="1:9" x14ac:dyDescent="0.2">
      <c r="A116" s="5" t="s">
        <v>169</v>
      </c>
      <c r="B116" s="5" t="s">
        <v>76</v>
      </c>
      <c r="C116" s="5" t="s">
        <v>17</v>
      </c>
      <c r="D116" s="8">
        <v>45678</v>
      </c>
      <c r="E116" s="5" t="s">
        <v>23</v>
      </c>
      <c r="F116" s="12">
        <v>1576.65</v>
      </c>
      <c r="G116" s="5" t="s">
        <v>18</v>
      </c>
      <c r="H116" s="5" t="s">
        <v>46</v>
      </c>
      <c r="I116" s="5"/>
    </row>
    <row r="117" spans="1:9" x14ac:dyDescent="0.2">
      <c r="A117" s="5" t="s">
        <v>170</v>
      </c>
      <c r="B117" s="5" t="s">
        <v>78</v>
      </c>
      <c r="C117" s="5" t="s">
        <v>29</v>
      </c>
      <c r="D117" s="8">
        <v>45728</v>
      </c>
      <c r="E117" s="5" t="s">
        <v>49</v>
      </c>
      <c r="F117" s="12">
        <v>1599.04</v>
      </c>
      <c r="G117" s="5" t="s">
        <v>34</v>
      </c>
      <c r="H117" s="5" t="s">
        <v>19</v>
      </c>
      <c r="I117" s="5"/>
    </row>
    <row r="118" spans="1:9" x14ac:dyDescent="0.2">
      <c r="A118" s="5" t="s">
        <v>171</v>
      </c>
      <c r="B118" s="5" t="s">
        <v>16</v>
      </c>
      <c r="C118" s="5" t="s">
        <v>55</v>
      </c>
      <c r="D118" s="8">
        <v>45666</v>
      </c>
      <c r="E118" s="5" t="s">
        <v>23</v>
      </c>
      <c r="F118" s="12">
        <v>1674.11</v>
      </c>
      <c r="G118" s="5" t="s">
        <v>18</v>
      </c>
      <c r="H118" s="5" t="s">
        <v>46</v>
      </c>
      <c r="I118" s="5"/>
    </row>
    <row r="119" spans="1:9" x14ac:dyDescent="0.2">
      <c r="A119" s="5" t="s">
        <v>172</v>
      </c>
      <c r="B119" s="5" t="s">
        <v>74</v>
      </c>
      <c r="C119" s="5" t="s">
        <v>29</v>
      </c>
      <c r="D119" s="8">
        <v>45668</v>
      </c>
      <c r="E119" s="5" t="s">
        <v>23</v>
      </c>
      <c r="F119" s="12">
        <v>709.59</v>
      </c>
      <c r="G119" s="5" t="s">
        <v>62</v>
      </c>
      <c r="H119" s="5"/>
      <c r="I119" s="5"/>
    </row>
    <row r="120" spans="1:9" x14ac:dyDescent="0.2">
      <c r="A120" s="5" t="s">
        <v>173</v>
      </c>
      <c r="B120" s="5" t="s">
        <v>33</v>
      </c>
      <c r="C120" s="5" t="s">
        <v>38</v>
      </c>
      <c r="D120" s="8">
        <v>45732</v>
      </c>
      <c r="E120" s="5" t="s">
        <v>23</v>
      </c>
      <c r="F120" s="12">
        <v>1171.1500000000001</v>
      </c>
      <c r="G120" s="5" t="s">
        <v>18</v>
      </c>
      <c r="H120" s="5" t="s">
        <v>46</v>
      </c>
      <c r="I120" s="5"/>
    </row>
    <row r="121" spans="1:9" x14ac:dyDescent="0.2">
      <c r="A121" s="5" t="s">
        <v>174</v>
      </c>
      <c r="B121" s="5" t="s">
        <v>33</v>
      </c>
      <c r="C121" s="5" t="s">
        <v>11</v>
      </c>
      <c r="D121" s="8">
        <v>45732</v>
      </c>
      <c r="E121" s="5" t="s">
        <v>60</v>
      </c>
      <c r="F121" s="12">
        <v>103.05</v>
      </c>
      <c r="G121" s="5" t="s">
        <v>26</v>
      </c>
      <c r="H121" s="5" t="s">
        <v>19</v>
      </c>
      <c r="I121" s="5"/>
    </row>
    <row r="122" spans="1:9" x14ac:dyDescent="0.2">
      <c r="A122" s="5" t="s">
        <v>175</v>
      </c>
      <c r="B122" s="5" t="s">
        <v>90</v>
      </c>
      <c r="C122" s="5" t="s">
        <v>42</v>
      </c>
      <c r="D122" s="8">
        <v>45755</v>
      </c>
      <c r="E122" s="5" t="s">
        <v>12</v>
      </c>
      <c r="F122" s="12">
        <v>349.98</v>
      </c>
      <c r="G122" s="5" t="s">
        <v>62</v>
      </c>
      <c r="H122" s="5" t="s">
        <v>27</v>
      </c>
      <c r="I122" s="5" t="s">
        <v>35</v>
      </c>
    </row>
    <row r="123" spans="1:9" x14ac:dyDescent="0.2">
      <c r="A123" s="5" t="s">
        <v>176</v>
      </c>
      <c r="B123" s="5" t="s">
        <v>37</v>
      </c>
      <c r="C123" s="5" t="s">
        <v>29</v>
      </c>
      <c r="D123" s="8">
        <v>45731</v>
      </c>
      <c r="E123" s="5" t="s">
        <v>49</v>
      </c>
      <c r="F123" s="12">
        <v>954.47</v>
      </c>
      <c r="G123" s="5"/>
      <c r="H123" s="5"/>
      <c r="I123" s="5"/>
    </row>
    <row r="124" spans="1:9" x14ac:dyDescent="0.2">
      <c r="A124" s="5" t="s">
        <v>177</v>
      </c>
      <c r="B124" s="5" t="s">
        <v>54</v>
      </c>
      <c r="C124" s="5" t="s">
        <v>55</v>
      </c>
      <c r="D124" s="8">
        <v>45706</v>
      </c>
      <c r="E124" s="5" t="s">
        <v>30</v>
      </c>
      <c r="F124" s="12">
        <v>588.67999999999995</v>
      </c>
      <c r="G124" s="5" t="s">
        <v>26</v>
      </c>
      <c r="H124" s="5" t="s">
        <v>19</v>
      </c>
      <c r="I124" s="5"/>
    </row>
    <row r="125" spans="1:9" x14ac:dyDescent="0.2">
      <c r="A125" s="5" t="s">
        <v>178</v>
      </c>
      <c r="B125" s="5" t="s">
        <v>41</v>
      </c>
      <c r="C125" s="5" t="s">
        <v>22</v>
      </c>
      <c r="D125" s="8">
        <v>45717</v>
      </c>
      <c r="E125" s="5" t="s">
        <v>30</v>
      </c>
      <c r="F125" s="12">
        <v>1239.79</v>
      </c>
      <c r="G125" s="5" t="s">
        <v>13</v>
      </c>
      <c r="H125" s="5" t="s">
        <v>27</v>
      </c>
      <c r="I125" s="5"/>
    </row>
    <row r="126" spans="1:9" x14ac:dyDescent="0.2">
      <c r="A126" s="5" t="s">
        <v>179</v>
      </c>
      <c r="B126" s="5" t="s">
        <v>51</v>
      </c>
      <c r="C126" s="5" t="s">
        <v>22</v>
      </c>
      <c r="D126" s="8">
        <v>45696</v>
      </c>
      <c r="E126" s="5" t="s">
        <v>23</v>
      </c>
      <c r="F126" s="12">
        <v>1721.17</v>
      </c>
      <c r="G126" s="5" t="s">
        <v>18</v>
      </c>
      <c r="H126" s="5" t="s">
        <v>46</v>
      </c>
      <c r="I126" s="5" t="s">
        <v>35</v>
      </c>
    </row>
    <row r="127" spans="1:9" x14ac:dyDescent="0.2">
      <c r="A127" s="5" t="s">
        <v>180</v>
      </c>
      <c r="B127" s="5" t="s">
        <v>76</v>
      </c>
      <c r="C127" s="5" t="s">
        <v>55</v>
      </c>
      <c r="D127" s="8">
        <v>45768</v>
      </c>
      <c r="E127" s="5" t="s">
        <v>49</v>
      </c>
      <c r="F127" s="12">
        <v>722.48</v>
      </c>
      <c r="G127" s="5" t="s">
        <v>34</v>
      </c>
      <c r="H127" s="5" t="s">
        <v>46</v>
      </c>
      <c r="I127" s="5"/>
    </row>
    <row r="128" spans="1:9" x14ac:dyDescent="0.2">
      <c r="A128" s="5" t="s">
        <v>181</v>
      </c>
      <c r="B128" s="5" t="s">
        <v>76</v>
      </c>
      <c r="C128" s="5" t="s">
        <v>17</v>
      </c>
      <c r="D128" s="8">
        <v>45715</v>
      </c>
      <c r="E128" s="5" t="s">
        <v>23</v>
      </c>
      <c r="F128" s="12">
        <v>1353.56</v>
      </c>
      <c r="G128" s="5" t="s">
        <v>34</v>
      </c>
      <c r="H128" s="5" t="s">
        <v>19</v>
      </c>
      <c r="I128" s="5"/>
    </row>
    <row r="129" spans="1:9" x14ac:dyDescent="0.2">
      <c r="A129" s="5" t="s">
        <v>182</v>
      </c>
      <c r="B129" s="5" t="s">
        <v>76</v>
      </c>
      <c r="C129" s="5" t="s">
        <v>45</v>
      </c>
      <c r="D129" s="8">
        <v>45745</v>
      </c>
      <c r="E129" s="5" t="s">
        <v>60</v>
      </c>
      <c r="F129" s="12">
        <v>1945.85</v>
      </c>
      <c r="G129" s="5" t="s">
        <v>18</v>
      </c>
      <c r="H129" s="5" t="s">
        <v>19</v>
      </c>
      <c r="I129" s="5"/>
    </row>
    <row r="130" spans="1:9" x14ac:dyDescent="0.2">
      <c r="A130" s="5" t="s">
        <v>183</v>
      </c>
      <c r="B130" s="5" t="s">
        <v>33</v>
      </c>
      <c r="C130" s="5" t="s">
        <v>55</v>
      </c>
      <c r="D130" s="8">
        <v>45680</v>
      </c>
      <c r="E130" s="5" t="s">
        <v>49</v>
      </c>
      <c r="F130" s="12">
        <v>143.21</v>
      </c>
      <c r="G130" s="5" t="s">
        <v>18</v>
      </c>
      <c r="H130" s="5" t="s">
        <v>27</v>
      </c>
      <c r="I130" s="5"/>
    </row>
    <row r="131" spans="1:9" x14ac:dyDescent="0.2">
      <c r="A131" s="5" t="s">
        <v>184</v>
      </c>
      <c r="B131" s="5" t="s">
        <v>76</v>
      </c>
      <c r="C131" s="5" t="s">
        <v>38</v>
      </c>
      <c r="D131" s="8">
        <v>45756</v>
      </c>
      <c r="E131" s="5" t="s">
        <v>23</v>
      </c>
      <c r="F131" s="12">
        <v>872.29</v>
      </c>
      <c r="G131" s="5" t="s">
        <v>39</v>
      </c>
      <c r="H131" s="5"/>
      <c r="I131" s="5"/>
    </row>
    <row r="132" spans="1:9" x14ac:dyDescent="0.2">
      <c r="A132" s="5" t="s">
        <v>185</v>
      </c>
      <c r="B132" s="5" t="s">
        <v>57</v>
      </c>
      <c r="C132" s="5" t="s">
        <v>55</v>
      </c>
      <c r="D132" s="8">
        <v>45679</v>
      </c>
      <c r="E132" s="5" t="s">
        <v>23</v>
      </c>
      <c r="F132" s="12">
        <v>238.66</v>
      </c>
      <c r="G132" s="5" t="s">
        <v>62</v>
      </c>
      <c r="H132" s="5" t="s">
        <v>31</v>
      </c>
      <c r="I132" s="5"/>
    </row>
    <row r="133" spans="1:9" x14ac:dyDescent="0.2">
      <c r="A133" s="5" t="s">
        <v>186</v>
      </c>
      <c r="B133" s="5" t="s">
        <v>68</v>
      </c>
      <c r="C133" s="5" t="s">
        <v>38</v>
      </c>
      <c r="D133" s="8">
        <v>45690</v>
      </c>
      <c r="E133" s="5" t="s">
        <v>23</v>
      </c>
      <c r="F133" s="12">
        <v>1775.92</v>
      </c>
      <c r="G133" s="5" t="s">
        <v>62</v>
      </c>
      <c r="H133" s="5" t="s">
        <v>52</v>
      </c>
      <c r="I133" s="5"/>
    </row>
    <row r="134" spans="1:9" x14ac:dyDescent="0.2">
      <c r="A134" s="5" t="s">
        <v>187</v>
      </c>
      <c r="B134" s="5" t="s">
        <v>51</v>
      </c>
      <c r="C134" s="5" t="s">
        <v>45</v>
      </c>
      <c r="D134" s="8">
        <v>45675</v>
      </c>
      <c r="E134" s="5" t="s">
        <v>23</v>
      </c>
      <c r="F134" s="12">
        <v>1365.2</v>
      </c>
      <c r="G134" s="5" t="s">
        <v>26</v>
      </c>
      <c r="H134" s="5" t="s">
        <v>52</v>
      </c>
      <c r="I134" s="5"/>
    </row>
    <row r="135" spans="1:9" x14ac:dyDescent="0.2">
      <c r="A135" s="5" t="s">
        <v>188</v>
      </c>
      <c r="B135" s="5" t="s">
        <v>16</v>
      </c>
      <c r="C135" s="5" t="s">
        <v>22</v>
      </c>
      <c r="D135" s="8">
        <v>45728</v>
      </c>
      <c r="E135" s="5" t="s">
        <v>12</v>
      </c>
      <c r="F135" s="12">
        <v>1208.1600000000001</v>
      </c>
      <c r="G135" s="5" t="s">
        <v>26</v>
      </c>
      <c r="H135" s="5" t="s">
        <v>19</v>
      </c>
      <c r="I135" s="5"/>
    </row>
    <row r="136" spans="1:9" x14ac:dyDescent="0.2">
      <c r="A136" s="5" t="s">
        <v>189</v>
      </c>
      <c r="B136" s="5" t="s">
        <v>33</v>
      </c>
      <c r="C136" s="5" t="s">
        <v>45</v>
      </c>
      <c r="D136" s="8">
        <v>45697</v>
      </c>
      <c r="E136" s="5" t="s">
        <v>49</v>
      </c>
      <c r="F136" s="12">
        <v>224.37</v>
      </c>
      <c r="G136" s="5"/>
      <c r="H136" s="5" t="s">
        <v>27</v>
      </c>
      <c r="I136" s="5"/>
    </row>
    <row r="137" spans="1:9" x14ac:dyDescent="0.2">
      <c r="A137" s="5" t="s">
        <v>190</v>
      </c>
      <c r="B137" s="5" t="s">
        <v>33</v>
      </c>
      <c r="C137" s="5" t="s">
        <v>38</v>
      </c>
      <c r="D137" s="8">
        <v>45735</v>
      </c>
      <c r="E137" s="5" t="s">
        <v>49</v>
      </c>
      <c r="F137" s="12">
        <v>1457.93</v>
      </c>
      <c r="G137" s="5" t="s">
        <v>26</v>
      </c>
      <c r="H137" s="5" t="s">
        <v>31</v>
      </c>
      <c r="I137" s="5"/>
    </row>
    <row r="138" spans="1:9" x14ac:dyDescent="0.2">
      <c r="A138" s="5" t="s">
        <v>191</v>
      </c>
      <c r="B138" s="5" t="s">
        <v>21</v>
      </c>
      <c r="C138" s="5" t="s">
        <v>29</v>
      </c>
      <c r="D138" s="8">
        <v>45746</v>
      </c>
      <c r="E138" s="5" t="s">
        <v>60</v>
      </c>
      <c r="F138" s="12">
        <v>1137.45</v>
      </c>
      <c r="G138" s="5" t="s">
        <v>34</v>
      </c>
      <c r="H138" s="5" t="s">
        <v>31</v>
      </c>
      <c r="I138" s="5"/>
    </row>
    <row r="139" spans="1:9" x14ac:dyDescent="0.2">
      <c r="A139" s="5" t="s">
        <v>192</v>
      </c>
      <c r="B139" s="5" t="s">
        <v>51</v>
      </c>
      <c r="C139" s="5" t="s">
        <v>55</v>
      </c>
      <c r="D139" s="8">
        <v>45734</v>
      </c>
      <c r="E139" s="5" t="s">
        <v>60</v>
      </c>
      <c r="F139" s="12">
        <v>994.33</v>
      </c>
      <c r="G139" s="5" t="s">
        <v>13</v>
      </c>
      <c r="H139" s="5" t="s">
        <v>27</v>
      </c>
      <c r="I139" s="5"/>
    </row>
    <row r="140" spans="1:9" x14ac:dyDescent="0.2">
      <c r="A140" s="5" t="s">
        <v>193</v>
      </c>
      <c r="B140" s="5" t="s">
        <v>74</v>
      </c>
      <c r="C140" s="5" t="s">
        <v>42</v>
      </c>
      <c r="D140" s="8">
        <v>45662</v>
      </c>
      <c r="E140" s="5" t="s">
        <v>30</v>
      </c>
      <c r="F140" s="12">
        <v>1053.97</v>
      </c>
      <c r="G140" s="5" t="s">
        <v>26</v>
      </c>
      <c r="H140" s="5" t="s">
        <v>52</v>
      </c>
      <c r="I140" s="5" t="s">
        <v>35</v>
      </c>
    </row>
    <row r="141" spans="1:9" x14ac:dyDescent="0.2">
      <c r="A141" s="5" t="s">
        <v>194</v>
      </c>
      <c r="B141" s="5" t="s">
        <v>99</v>
      </c>
      <c r="C141" s="5" t="s">
        <v>42</v>
      </c>
      <c r="D141" s="8">
        <v>45662</v>
      </c>
      <c r="E141" s="5" t="s">
        <v>30</v>
      </c>
      <c r="F141" s="12">
        <v>1544.4</v>
      </c>
      <c r="G141" s="5" t="s">
        <v>13</v>
      </c>
      <c r="H141" s="5" t="s">
        <v>46</v>
      </c>
      <c r="I141" s="5"/>
    </row>
    <row r="142" spans="1:9" x14ac:dyDescent="0.2">
      <c r="A142" s="5" t="s">
        <v>195</v>
      </c>
      <c r="B142" s="5" t="s">
        <v>78</v>
      </c>
      <c r="C142" s="5" t="s">
        <v>11</v>
      </c>
      <c r="D142" s="8">
        <v>45688</v>
      </c>
      <c r="E142" s="5" t="s">
        <v>60</v>
      </c>
      <c r="F142" s="12">
        <v>211.17</v>
      </c>
      <c r="G142" s="5" t="s">
        <v>39</v>
      </c>
      <c r="H142" s="5"/>
      <c r="I142" s="5"/>
    </row>
    <row r="143" spans="1:9" x14ac:dyDescent="0.2">
      <c r="A143" s="5" t="s">
        <v>196</v>
      </c>
      <c r="B143" s="5" t="s">
        <v>59</v>
      </c>
      <c r="C143" s="5" t="s">
        <v>17</v>
      </c>
      <c r="D143" s="8">
        <v>45709</v>
      </c>
      <c r="E143" s="5" t="s">
        <v>49</v>
      </c>
      <c r="F143" s="12">
        <v>1017.65</v>
      </c>
      <c r="G143" s="5"/>
      <c r="H143" s="5" t="s">
        <v>31</v>
      </c>
      <c r="I143" s="5"/>
    </row>
    <row r="144" spans="1:9" x14ac:dyDescent="0.2">
      <c r="A144" s="5" t="s">
        <v>197</v>
      </c>
      <c r="B144" s="5" t="s">
        <v>54</v>
      </c>
      <c r="C144" s="5" t="s">
        <v>55</v>
      </c>
      <c r="D144" s="8">
        <v>45742</v>
      </c>
      <c r="E144" s="5" t="s">
        <v>60</v>
      </c>
      <c r="F144" s="12">
        <v>196.77</v>
      </c>
      <c r="G144" s="5" t="s">
        <v>62</v>
      </c>
      <c r="H144" s="5" t="s">
        <v>46</v>
      </c>
      <c r="I144" s="5"/>
    </row>
    <row r="145" spans="1:9" x14ac:dyDescent="0.2">
      <c r="A145" s="5" t="s">
        <v>198</v>
      </c>
      <c r="B145" s="5" t="s">
        <v>78</v>
      </c>
      <c r="C145" s="5" t="s">
        <v>11</v>
      </c>
      <c r="D145" s="8">
        <v>45744</v>
      </c>
      <c r="E145" s="5" t="s">
        <v>30</v>
      </c>
      <c r="F145" s="12">
        <v>757.1</v>
      </c>
      <c r="G145" s="5" t="s">
        <v>62</v>
      </c>
      <c r="H145" s="5" t="s">
        <v>52</v>
      </c>
      <c r="I145" s="5"/>
    </row>
    <row r="146" spans="1:9" x14ac:dyDescent="0.2">
      <c r="A146" s="5" t="s">
        <v>199</v>
      </c>
      <c r="B146" s="5" t="s">
        <v>76</v>
      </c>
      <c r="C146" s="5" t="s">
        <v>11</v>
      </c>
      <c r="D146" s="8">
        <v>45710</v>
      </c>
      <c r="E146" s="5" t="s">
        <v>60</v>
      </c>
      <c r="F146" s="12">
        <v>444.29</v>
      </c>
      <c r="G146" s="5" t="s">
        <v>39</v>
      </c>
      <c r="H146" s="5" t="s">
        <v>19</v>
      </c>
      <c r="I146" s="5"/>
    </row>
    <row r="147" spans="1:9" x14ac:dyDescent="0.2">
      <c r="A147" s="5" t="s">
        <v>200</v>
      </c>
      <c r="B147" s="5" t="s">
        <v>74</v>
      </c>
      <c r="C147" s="5" t="s">
        <v>29</v>
      </c>
      <c r="D147" s="8">
        <v>45758</v>
      </c>
      <c r="E147" s="5" t="s">
        <v>23</v>
      </c>
      <c r="F147" s="12">
        <v>1206.23</v>
      </c>
      <c r="G147" s="5" t="s">
        <v>13</v>
      </c>
      <c r="H147" s="5" t="s">
        <v>27</v>
      </c>
      <c r="I147" s="5"/>
    </row>
    <row r="148" spans="1:9" x14ac:dyDescent="0.2">
      <c r="A148" s="5" t="s">
        <v>201</v>
      </c>
      <c r="B148" s="5" t="s">
        <v>78</v>
      </c>
      <c r="C148" s="5" t="s">
        <v>22</v>
      </c>
      <c r="D148" s="8">
        <v>45688</v>
      </c>
      <c r="E148" s="5" t="s">
        <v>49</v>
      </c>
      <c r="F148" s="12">
        <v>1214.3399999999999</v>
      </c>
      <c r="G148" s="5" t="s">
        <v>34</v>
      </c>
      <c r="H148" s="5" t="s">
        <v>52</v>
      </c>
      <c r="I148" s="5"/>
    </row>
    <row r="149" spans="1:9" x14ac:dyDescent="0.2">
      <c r="A149" s="5" t="s">
        <v>202</v>
      </c>
      <c r="B149" s="5" t="s">
        <v>25</v>
      </c>
      <c r="C149" s="5" t="s">
        <v>45</v>
      </c>
      <c r="D149" s="8">
        <v>45669</v>
      </c>
      <c r="E149" s="5" t="s">
        <v>60</v>
      </c>
      <c r="F149" s="12">
        <v>96.09</v>
      </c>
      <c r="G149" s="5" t="s">
        <v>26</v>
      </c>
      <c r="H149" s="5" t="s">
        <v>46</v>
      </c>
      <c r="I149" s="5"/>
    </row>
    <row r="150" spans="1:9" x14ac:dyDescent="0.2">
      <c r="A150" s="5" t="s">
        <v>203</v>
      </c>
      <c r="B150" s="5" t="s">
        <v>66</v>
      </c>
      <c r="C150" s="5" t="s">
        <v>11</v>
      </c>
      <c r="D150" s="8">
        <v>45700</v>
      </c>
      <c r="E150" s="5" t="s">
        <v>30</v>
      </c>
      <c r="F150" s="12"/>
      <c r="G150" s="5" t="s">
        <v>18</v>
      </c>
      <c r="H150" s="5"/>
      <c r="I150" s="5"/>
    </row>
    <row r="151" spans="1:9" x14ac:dyDescent="0.2">
      <c r="A151" s="5" t="s">
        <v>204</v>
      </c>
      <c r="B151" s="5" t="s">
        <v>48</v>
      </c>
      <c r="C151" s="5" t="s">
        <v>29</v>
      </c>
      <c r="D151" s="8">
        <v>45729</v>
      </c>
      <c r="E151" s="5" t="s">
        <v>30</v>
      </c>
      <c r="F151" s="12">
        <v>1388.92</v>
      </c>
      <c r="G151" s="5" t="s">
        <v>62</v>
      </c>
      <c r="H151" s="5" t="s">
        <v>31</v>
      </c>
      <c r="I151" s="5"/>
    </row>
    <row r="152" spans="1:9" x14ac:dyDescent="0.2">
      <c r="A152" s="5" t="s">
        <v>205</v>
      </c>
      <c r="B152" s="5" t="s">
        <v>68</v>
      </c>
      <c r="C152" s="5" t="s">
        <v>55</v>
      </c>
      <c r="D152" s="8">
        <v>45737</v>
      </c>
      <c r="E152" s="5" t="s">
        <v>60</v>
      </c>
      <c r="F152" s="12">
        <v>1280.3800000000001</v>
      </c>
      <c r="G152" s="5" t="s">
        <v>26</v>
      </c>
      <c r="H152" s="5" t="s">
        <v>52</v>
      </c>
      <c r="I152" s="5"/>
    </row>
    <row r="153" spans="1:9" x14ac:dyDescent="0.2">
      <c r="A153" s="5" t="s">
        <v>206</v>
      </c>
      <c r="B153" s="5" t="s">
        <v>74</v>
      </c>
      <c r="C153" s="5" t="s">
        <v>29</v>
      </c>
      <c r="D153" s="8">
        <v>45692</v>
      </c>
      <c r="E153" s="5" t="s">
        <v>49</v>
      </c>
      <c r="F153" s="12">
        <v>430.77</v>
      </c>
      <c r="G153" s="5" t="s">
        <v>62</v>
      </c>
      <c r="H153" s="5" t="s">
        <v>14</v>
      </c>
      <c r="I153" s="5"/>
    </row>
    <row r="154" spans="1:9" x14ac:dyDescent="0.2">
      <c r="A154" s="5" t="s">
        <v>207</v>
      </c>
      <c r="B154" s="5" t="s">
        <v>99</v>
      </c>
      <c r="C154" s="5" t="s">
        <v>38</v>
      </c>
      <c r="D154" s="8">
        <v>45726</v>
      </c>
      <c r="E154" s="5" t="s">
        <v>12</v>
      </c>
      <c r="F154" s="12">
        <v>755.37</v>
      </c>
      <c r="G154" s="5" t="s">
        <v>26</v>
      </c>
      <c r="H154" s="5" t="s">
        <v>31</v>
      </c>
      <c r="I154" s="5"/>
    </row>
    <row r="155" spans="1:9" x14ac:dyDescent="0.2">
      <c r="A155" s="5" t="s">
        <v>208</v>
      </c>
      <c r="B155" s="5" t="s">
        <v>37</v>
      </c>
      <c r="C155" s="5" t="s">
        <v>29</v>
      </c>
      <c r="D155" s="8">
        <v>45663</v>
      </c>
      <c r="E155" s="5" t="s">
        <v>12</v>
      </c>
      <c r="F155" s="12">
        <v>308.89</v>
      </c>
      <c r="G155" s="5" t="s">
        <v>26</v>
      </c>
      <c r="H155" s="5" t="s">
        <v>19</v>
      </c>
      <c r="I155" s="5"/>
    </row>
    <row r="156" spans="1:9" x14ac:dyDescent="0.2">
      <c r="A156" s="5" t="s">
        <v>209</v>
      </c>
      <c r="B156" s="5" t="s">
        <v>76</v>
      </c>
      <c r="C156" s="5" t="s">
        <v>42</v>
      </c>
      <c r="D156" s="8">
        <v>45679</v>
      </c>
      <c r="E156" s="5" t="s">
        <v>30</v>
      </c>
      <c r="F156" s="12">
        <v>743.68</v>
      </c>
      <c r="G156" s="5" t="s">
        <v>26</v>
      </c>
      <c r="H156" s="5" t="s">
        <v>46</v>
      </c>
      <c r="I156" s="5" t="s">
        <v>35</v>
      </c>
    </row>
    <row r="157" spans="1:9" x14ac:dyDescent="0.2">
      <c r="A157" s="5" t="s">
        <v>210</v>
      </c>
      <c r="B157" s="5" t="s">
        <v>57</v>
      </c>
      <c r="C157" s="5" t="s">
        <v>11</v>
      </c>
      <c r="D157" s="8">
        <v>45668</v>
      </c>
      <c r="E157" s="5" t="s">
        <v>30</v>
      </c>
      <c r="F157" s="12">
        <v>1117.82</v>
      </c>
      <c r="G157" s="5" t="s">
        <v>26</v>
      </c>
      <c r="H157" s="5" t="s">
        <v>52</v>
      </c>
      <c r="I157" s="5" t="s">
        <v>35</v>
      </c>
    </row>
    <row r="158" spans="1:9" x14ac:dyDescent="0.2">
      <c r="A158" s="5" t="s">
        <v>211</v>
      </c>
      <c r="B158" s="5" t="s">
        <v>59</v>
      </c>
      <c r="C158" s="5" t="s">
        <v>11</v>
      </c>
      <c r="D158" s="8">
        <v>45698</v>
      </c>
      <c r="E158" s="5" t="s">
        <v>49</v>
      </c>
      <c r="F158" s="12">
        <v>1473.24</v>
      </c>
      <c r="G158" s="5" t="s">
        <v>39</v>
      </c>
      <c r="H158" s="5" t="s">
        <v>46</v>
      </c>
      <c r="I158" s="5"/>
    </row>
    <row r="159" spans="1:9" x14ac:dyDescent="0.2">
      <c r="A159" s="5" t="s">
        <v>212</v>
      </c>
      <c r="B159" s="5" t="s">
        <v>16</v>
      </c>
      <c r="C159" s="5" t="s">
        <v>42</v>
      </c>
      <c r="D159" s="8">
        <v>45667</v>
      </c>
      <c r="E159" s="5" t="s">
        <v>23</v>
      </c>
      <c r="F159" s="12">
        <v>931.91</v>
      </c>
      <c r="G159" s="5" t="s">
        <v>26</v>
      </c>
      <c r="H159" s="5" t="s">
        <v>52</v>
      </c>
      <c r="I159" s="5"/>
    </row>
    <row r="160" spans="1:9" x14ac:dyDescent="0.2">
      <c r="A160" s="5" t="s">
        <v>213</v>
      </c>
      <c r="B160" s="5" t="s">
        <v>48</v>
      </c>
      <c r="C160" s="5" t="s">
        <v>38</v>
      </c>
      <c r="D160" s="8">
        <v>45702</v>
      </c>
      <c r="E160" s="5" t="s">
        <v>12</v>
      </c>
      <c r="F160" s="12">
        <v>1205.49</v>
      </c>
      <c r="G160" s="5" t="s">
        <v>13</v>
      </c>
      <c r="H160" s="5"/>
      <c r="I160" s="5" t="s">
        <v>35</v>
      </c>
    </row>
    <row r="161" spans="1:9" x14ac:dyDescent="0.2">
      <c r="A161" s="5" t="s">
        <v>214</v>
      </c>
      <c r="B161" s="5" t="s">
        <v>90</v>
      </c>
      <c r="C161" s="5" t="s">
        <v>22</v>
      </c>
      <c r="D161" s="8">
        <v>45720</v>
      </c>
      <c r="E161" s="5" t="s">
        <v>23</v>
      </c>
      <c r="F161" s="12">
        <v>1494.91</v>
      </c>
      <c r="G161" s="5" t="s">
        <v>13</v>
      </c>
      <c r="H161" s="5" t="s">
        <v>46</v>
      </c>
      <c r="I161" s="5"/>
    </row>
    <row r="162" spans="1:9" x14ac:dyDescent="0.2">
      <c r="A162" s="5" t="s">
        <v>215</v>
      </c>
      <c r="B162" s="5" t="s">
        <v>33</v>
      </c>
      <c r="C162" s="5" t="s">
        <v>38</v>
      </c>
      <c r="D162" s="8">
        <v>45758</v>
      </c>
      <c r="E162" s="5" t="s">
        <v>30</v>
      </c>
      <c r="F162" s="12">
        <v>1661.29</v>
      </c>
      <c r="G162" s="5" t="s">
        <v>13</v>
      </c>
      <c r="H162" s="5" t="s">
        <v>19</v>
      </c>
      <c r="I162" s="5" t="s">
        <v>35</v>
      </c>
    </row>
    <row r="163" spans="1:9" x14ac:dyDescent="0.2">
      <c r="A163" s="5" t="s">
        <v>216</v>
      </c>
      <c r="B163" s="5" t="s">
        <v>76</v>
      </c>
      <c r="C163" s="5" t="s">
        <v>38</v>
      </c>
      <c r="D163" s="8">
        <v>45748</v>
      </c>
      <c r="E163" s="5" t="s">
        <v>12</v>
      </c>
      <c r="F163" s="12">
        <v>1073.3900000000001</v>
      </c>
      <c r="G163" s="5" t="s">
        <v>62</v>
      </c>
      <c r="H163" s="5" t="s">
        <v>19</v>
      </c>
      <c r="I163" s="5"/>
    </row>
    <row r="164" spans="1:9" x14ac:dyDescent="0.2">
      <c r="A164" s="5" t="s">
        <v>217</v>
      </c>
      <c r="B164" s="5" t="s">
        <v>84</v>
      </c>
      <c r="C164" s="5" t="s">
        <v>45</v>
      </c>
      <c r="D164" s="8">
        <v>45742</v>
      </c>
      <c r="E164" s="5" t="s">
        <v>12</v>
      </c>
      <c r="F164" s="12"/>
      <c r="G164" s="5" t="s">
        <v>26</v>
      </c>
      <c r="H164" s="5" t="s">
        <v>19</v>
      </c>
      <c r="I164" s="5"/>
    </row>
    <row r="165" spans="1:9" x14ac:dyDescent="0.2">
      <c r="A165" s="5" t="s">
        <v>218</v>
      </c>
      <c r="B165" s="5" t="s">
        <v>68</v>
      </c>
      <c r="C165" s="5" t="s">
        <v>17</v>
      </c>
      <c r="D165" s="8">
        <v>45686</v>
      </c>
      <c r="E165" s="5" t="s">
        <v>30</v>
      </c>
      <c r="F165" s="12">
        <v>176.97</v>
      </c>
      <c r="G165" s="5" t="s">
        <v>34</v>
      </c>
      <c r="H165" s="5" t="s">
        <v>27</v>
      </c>
      <c r="I165" s="5"/>
    </row>
    <row r="166" spans="1:9" x14ac:dyDescent="0.2">
      <c r="A166" s="5" t="s">
        <v>219</v>
      </c>
      <c r="B166" s="5" t="s">
        <v>10</v>
      </c>
      <c r="C166" s="5" t="s">
        <v>29</v>
      </c>
      <c r="D166" s="8">
        <v>45742</v>
      </c>
      <c r="E166" s="5" t="s">
        <v>49</v>
      </c>
      <c r="F166" s="12">
        <v>55.6</v>
      </c>
      <c r="G166" s="5"/>
      <c r="H166" s="5" t="s">
        <v>14</v>
      </c>
      <c r="I166" s="5" t="s">
        <v>35</v>
      </c>
    </row>
    <row r="167" spans="1:9" x14ac:dyDescent="0.2">
      <c r="A167" s="5" t="s">
        <v>220</v>
      </c>
      <c r="B167" s="5" t="s">
        <v>57</v>
      </c>
      <c r="C167" s="5" t="s">
        <v>38</v>
      </c>
      <c r="D167" s="8">
        <v>45694</v>
      </c>
      <c r="E167" s="5" t="s">
        <v>49</v>
      </c>
      <c r="F167" s="12">
        <v>1014.61</v>
      </c>
      <c r="G167" s="5" t="s">
        <v>18</v>
      </c>
      <c r="H167" s="5" t="s">
        <v>46</v>
      </c>
      <c r="I167" s="5"/>
    </row>
    <row r="168" spans="1:9" x14ac:dyDescent="0.2">
      <c r="A168" s="5" t="s">
        <v>221</v>
      </c>
      <c r="B168" s="5" t="s">
        <v>51</v>
      </c>
      <c r="C168" s="5" t="s">
        <v>42</v>
      </c>
      <c r="D168" s="8">
        <v>45741</v>
      </c>
      <c r="E168" s="5" t="s">
        <v>60</v>
      </c>
      <c r="F168" s="12">
        <v>886.97</v>
      </c>
      <c r="G168" s="5" t="s">
        <v>18</v>
      </c>
      <c r="H168" s="5" t="s">
        <v>14</v>
      </c>
      <c r="I168" s="5"/>
    </row>
    <row r="169" spans="1:9" x14ac:dyDescent="0.2">
      <c r="A169" s="5" t="s">
        <v>222</v>
      </c>
      <c r="B169" s="5" t="s">
        <v>37</v>
      </c>
      <c r="C169" s="5" t="s">
        <v>42</v>
      </c>
      <c r="D169" s="8">
        <v>45676</v>
      </c>
      <c r="E169" s="5" t="s">
        <v>60</v>
      </c>
      <c r="F169" s="12">
        <v>47.65</v>
      </c>
      <c r="G169" s="5"/>
      <c r="H169" s="5" t="s">
        <v>52</v>
      </c>
      <c r="I169" s="5"/>
    </row>
    <row r="170" spans="1:9" x14ac:dyDescent="0.2">
      <c r="A170" s="5" t="s">
        <v>223</v>
      </c>
      <c r="B170" s="5" t="s">
        <v>51</v>
      </c>
      <c r="C170" s="5" t="s">
        <v>17</v>
      </c>
      <c r="D170" s="8">
        <v>45756</v>
      </c>
      <c r="E170" s="5" t="s">
        <v>49</v>
      </c>
      <c r="F170" s="12">
        <v>402.93</v>
      </c>
      <c r="G170" s="5" t="s">
        <v>62</v>
      </c>
      <c r="H170" s="5" t="s">
        <v>27</v>
      </c>
      <c r="I170" s="5"/>
    </row>
    <row r="171" spans="1:9" x14ac:dyDescent="0.2">
      <c r="A171" s="5" t="s">
        <v>224</v>
      </c>
      <c r="B171" s="5" t="s">
        <v>48</v>
      </c>
      <c r="C171" s="5" t="s">
        <v>17</v>
      </c>
      <c r="D171" s="8">
        <v>45735</v>
      </c>
      <c r="E171" s="5" t="s">
        <v>49</v>
      </c>
      <c r="F171" s="12">
        <v>1485.14</v>
      </c>
      <c r="G171" s="5" t="s">
        <v>34</v>
      </c>
      <c r="H171" s="5" t="s">
        <v>14</v>
      </c>
      <c r="I171" s="5" t="s">
        <v>35</v>
      </c>
    </row>
    <row r="172" spans="1:9" x14ac:dyDescent="0.2">
      <c r="A172" s="5" t="s">
        <v>225</v>
      </c>
      <c r="B172" s="5" t="s">
        <v>33</v>
      </c>
      <c r="C172" s="5" t="s">
        <v>42</v>
      </c>
      <c r="D172" s="8">
        <v>45676</v>
      </c>
      <c r="E172" s="5" t="s">
        <v>30</v>
      </c>
      <c r="F172" s="12">
        <v>917.96</v>
      </c>
      <c r="G172" s="5" t="s">
        <v>62</v>
      </c>
      <c r="H172" s="5" t="s">
        <v>14</v>
      </c>
      <c r="I172" s="5"/>
    </row>
    <row r="173" spans="1:9" x14ac:dyDescent="0.2">
      <c r="A173" s="5" t="s">
        <v>226</v>
      </c>
      <c r="B173" s="5" t="s">
        <v>41</v>
      </c>
      <c r="C173" s="5" t="s">
        <v>11</v>
      </c>
      <c r="D173" s="8">
        <v>45771</v>
      </c>
      <c r="E173" s="5" t="s">
        <v>49</v>
      </c>
      <c r="F173" s="12">
        <v>288.08999999999997</v>
      </c>
      <c r="G173" s="5" t="s">
        <v>18</v>
      </c>
      <c r="H173" s="5" t="s">
        <v>31</v>
      </c>
      <c r="I173" s="5"/>
    </row>
    <row r="174" spans="1:9" x14ac:dyDescent="0.2">
      <c r="A174" s="5" t="s">
        <v>227</v>
      </c>
      <c r="B174" s="5" t="s">
        <v>99</v>
      </c>
      <c r="C174" s="5" t="s">
        <v>38</v>
      </c>
      <c r="D174" s="8">
        <v>45687</v>
      </c>
      <c r="E174" s="5" t="s">
        <v>49</v>
      </c>
      <c r="F174" s="12">
        <v>721.62</v>
      </c>
      <c r="G174" s="5" t="s">
        <v>26</v>
      </c>
      <c r="H174" s="5" t="s">
        <v>14</v>
      </c>
      <c r="I174" s="5"/>
    </row>
    <row r="175" spans="1:9" x14ac:dyDescent="0.2">
      <c r="A175" s="5" t="s">
        <v>228</v>
      </c>
      <c r="B175" s="5" t="s">
        <v>10</v>
      </c>
      <c r="C175" s="5" t="s">
        <v>11</v>
      </c>
      <c r="D175" s="8">
        <v>45718</v>
      </c>
      <c r="E175" s="5" t="s">
        <v>49</v>
      </c>
      <c r="F175" s="12">
        <v>1724.84</v>
      </c>
      <c r="G175" s="5" t="s">
        <v>18</v>
      </c>
      <c r="H175" s="5"/>
      <c r="I175" s="5"/>
    </row>
    <row r="176" spans="1:9" x14ac:dyDescent="0.2">
      <c r="A176" s="5" t="s">
        <v>229</v>
      </c>
      <c r="B176" s="5" t="s">
        <v>99</v>
      </c>
      <c r="C176" s="5" t="s">
        <v>29</v>
      </c>
      <c r="D176" s="8">
        <v>45752</v>
      </c>
      <c r="E176" s="5" t="s">
        <v>30</v>
      </c>
      <c r="F176" s="12">
        <v>1312.11</v>
      </c>
      <c r="G176" s="5" t="s">
        <v>39</v>
      </c>
      <c r="H176" s="5" t="s">
        <v>19</v>
      </c>
      <c r="I176" s="5"/>
    </row>
    <row r="177" spans="1:9" x14ac:dyDescent="0.2">
      <c r="A177" s="5" t="s">
        <v>230</v>
      </c>
      <c r="B177" s="5" t="s">
        <v>41</v>
      </c>
      <c r="C177" s="5" t="s">
        <v>17</v>
      </c>
      <c r="D177" s="8">
        <v>45737</v>
      </c>
      <c r="E177" s="5" t="s">
        <v>23</v>
      </c>
      <c r="F177" s="12"/>
      <c r="G177" s="5" t="s">
        <v>62</v>
      </c>
      <c r="H177" s="5" t="s">
        <v>19</v>
      </c>
      <c r="I177" s="5"/>
    </row>
    <row r="178" spans="1:9" x14ac:dyDescent="0.2">
      <c r="A178" s="5" t="s">
        <v>231</v>
      </c>
      <c r="B178" s="5" t="s">
        <v>21</v>
      </c>
      <c r="C178" s="5" t="s">
        <v>17</v>
      </c>
      <c r="D178" s="8">
        <v>45729</v>
      </c>
      <c r="E178" s="5" t="s">
        <v>49</v>
      </c>
      <c r="F178" s="12">
        <v>1187.92</v>
      </c>
      <c r="G178" s="5" t="s">
        <v>34</v>
      </c>
      <c r="H178" s="5" t="s">
        <v>31</v>
      </c>
      <c r="I178" s="5"/>
    </row>
    <row r="179" spans="1:9" x14ac:dyDescent="0.2">
      <c r="A179" s="5" t="s">
        <v>232</v>
      </c>
      <c r="B179" s="5" t="s">
        <v>76</v>
      </c>
      <c r="C179" s="5" t="s">
        <v>55</v>
      </c>
      <c r="D179" s="8">
        <v>45750</v>
      </c>
      <c r="E179" s="5" t="s">
        <v>30</v>
      </c>
      <c r="F179" s="12">
        <v>126.01</v>
      </c>
      <c r="G179" s="5" t="s">
        <v>18</v>
      </c>
      <c r="H179" s="5" t="s">
        <v>52</v>
      </c>
      <c r="I179" s="5"/>
    </row>
    <row r="180" spans="1:9" x14ac:dyDescent="0.2">
      <c r="A180" s="5" t="s">
        <v>233</v>
      </c>
      <c r="B180" s="5" t="s">
        <v>54</v>
      </c>
      <c r="C180" s="5" t="s">
        <v>42</v>
      </c>
      <c r="D180" s="8">
        <v>45767</v>
      </c>
      <c r="E180" s="5" t="s">
        <v>49</v>
      </c>
      <c r="F180" s="12">
        <v>1879.1</v>
      </c>
      <c r="G180" s="5" t="s">
        <v>26</v>
      </c>
      <c r="H180" s="5" t="s">
        <v>46</v>
      </c>
      <c r="I180" s="5"/>
    </row>
    <row r="181" spans="1:9" x14ac:dyDescent="0.2">
      <c r="A181" s="5" t="s">
        <v>234</v>
      </c>
      <c r="B181" s="5" t="s">
        <v>78</v>
      </c>
      <c r="C181" s="5" t="s">
        <v>17</v>
      </c>
      <c r="D181" s="8">
        <v>45689</v>
      </c>
      <c r="E181" s="5" t="s">
        <v>30</v>
      </c>
      <c r="F181" s="12">
        <v>571.11</v>
      </c>
      <c r="G181" s="5" t="s">
        <v>26</v>
      </c>
      <c r="H181" s="5" t="s">
        <v>31</v>
      </c>
      <c r="I181" s="5"/>
    </row>
    <row r="182" spans="1:9" x14ac:dyDescent="0.2">
      <c r="A182" s="5" t="s">
        <v>235</v>
      </c>
      <c r="B182" s="5" t="s">
        <v>54</v>
      </c>
      <c r="C182" s="5" t="s">
        <v>55</v>
      </c>
      <c r="D182" s="8">
        <v>45720</v>
      </c>
      <c r="E182" s="5" t="s">
        <v>49</v>
      </c>
      <c r="F182" s="12">
        <v>494.76</v>
      </c>
      <c r="G182" s="5" t="s">
        <v>13</v>
      </c>
      <c r="H182" s="5" t="s">
        <v>14</v>
      </c>
      <c r="I182" s="5"/>
    </row>
    <row r="183" spans="1:9" x14ac:dyDescent="0.2">
      <c r="A183" s="5" t="s">
        <v>236</v>
      </c>
      <c r="B183" s="5" t="s">
        <v>16</v>
      </c>
      <c r="C183" s="5" t="s">
        <v>11</v>
      </c>
      <c r="D183" s="8">
        <v>45669</v>
      </c>
      <c r="E183" s="5" t="s">
        <v>23</v>
      </c>
      <c r="F183" s="12">
        <v>1148.96</v>
      </c>
      <c r="G183" s="5"/>
      <c r="H183" s="5" t="s">
        <v>31</v>
      </c>
      <c r="I183" s="5"/>
    </row>
    <row r="184" spans="1:9" x14ac:dyDescent="0.2">
      <c r="A184" s="5" t="s">
        <v>237</v>
      </c>
      <c r="B184" s="5" t="s">
        <v>78</v>
      </c>
      <c r="C184" s="5" t="s">
        <v>45</v>
      </c>
      <c r="D184" s="8">
        <v>45715</v>
      </c>
      <c r="E184" s="5" t="s">
        <v>12</v>
      </c>
      <c r="F184" s="12">
        <v>1333.29</v>
      </c>
      <c r="G184" s="5" t="s">
        <v>26</v>
      </c>
      <c r="H184" s="5" t="s">
        <v>46</v>
      </c>
      <c r="I184" s="5"/>
    </row>
    <row r="185" spans="1:9" x14ac:dyDescent="0.2">
      <c r="A185" s="5" t="s">
        <v>238</v>
      </c>
      <c r="B185" s="5" t="s">
        <v>21</v>
      </c>
      <c r="C185" s="5" t="s">
        <v>55</v>
      </c>
      <c r="D185" s="8">
        <v>45744</v>
      </c>
      <c r="E185" s="5" t="s">
        <v>12</v>
      </c>
      <c r="F185" s="12">
        <v>1549.11</v>
      </c>
      <c r="G185" s="5" t="s">
        <v>13</v>
      </c>
      <c r="H185" s="5" t="s">
        <v>14</v>
      </c>
      <c r="I185" s="5"/>
    </row>
    <row r="186" spans="1:9" x14ac:dyDescent="0.2">
      <c r="A186" s="5" t="s">
        <v>239</v>
      </c>
      <c r="B186" s="5" t="s">
        <v>68</v>
      </c>
      <c r="C186" s="5" t="s">
        <v>22</v>
      </c>
      <c r="D186" s="8">
        <v>45751</v>
      </c>
      <c r="E186" s="5" t="s">
        <v>23</v>
      </c>
      <c r="F186" s="12">
        <v>1015.07</v>
      </c>
      <c r="G186" s="5" t="s">
        <v>62</v>
      </c>
      <c r="H186" s="5" t="s">
        <v>31</v>
      </c>
      <c r="I186" s="5"/>
    </row>
    <row r="187" spans="1:9" x14ac:dyDescent="0.2">
      <c r="A187" s="5" t="s">
        <v>240</v>
      </c>
      <c r="B187" s="5" t="s">
        <v>59</v>
      </c>
      <c r="C187" s="5" t="s">
        <v>22</v>
      </c>
      <c r="D187" s="8">
        <v>45673</v>
      </c>
      <c r="E187" s="5" t="s">
        <v>60</v>
      </c>
      <c r="F187" s="12">
        <v>1151.71</v>
      </c>
      <c r="G187" s="5" t="s">
        <v>13</v>
      </c>
      <c r="H187" s="5" t="s">
        <v>52</v>
      </c>
      <c r="I187" s="5"/>
    </row>
    <row r="188" spans="1:9" x14ac:dyDescent="0.2">
      <c r="A188" s="5" t="s">
        <v>241</v>
      </c>
      <c r="B188" s="5" t="s">
        <v>10</v>
      </c>
      <c r="C188" s="5" t="s">
        <v>11</v>
      </c>
      <c r="D188" s="8">
        <v>45678</v>
      </c>
      <c r="E188" s="5" t="s">
        <v>49</v>
      </c>
      <c r="F188" s="12">
        <v>1557.07</v>
      </c>
      <c r="G188" s="5"/>
      <c r="H188" s="5" t="s">
        <v>52</v>
      </c>
      <c r="I188" s="5"/>
    </row>
    <row r="189" spans="1:9" x14ac:dyDescent="0.2">
      <c r="A189" s="5" t="s">
        <v>242</v>
      </c>
      <c r="B189" s="5" t="s">
        <v>10</v>
      </c>
      <c r="C189" s="5" t="s">
        <v>22</v>
      </c>
      <c r="D189" s="8">
        <v>45663</v>
      </c>
      <c r="E189" s="5" t="s">
        <v>60</v>
      </c>
      <c r="F189" s="12">
        <v>1819.52</v>
      </c>
      <c r="G189" s="5" t="s">
        <v>39</v>
      </c>
      <c r="H189" s="5"/>
      <c r="I189" s="5"/>
    </row>
    <row r="190" spans="1:9" x14ac:dyDescent="0.2">
      <c r="A190" s="5" t="s">
        <v>243</v>
      </c>
      <c r="B190" s="5" t="s">
        <v>54</v>
      </c>
      <c r="C190" s="5" t="s">
        <v>17</v>
      </c>
      <c r="D190" s="8">
        <v>45722</v>
      </c>
      <c r="E190" s="5" t="s">
        <v>60</v>
      </c>
      <c r="F190" s="12">
        <v>1014.54</v>
      </c>
      <c r="G190" s="5" t="s">
        <v>13</v>
      </c>
      <c r="H190" s="5" t="s">
        <v>46</v>
      </c>
      <c r="I190" s="5"/>
    </row>
    <row r="191" spans="1:9" x14ac:dyDescent="0.2">
      <c r="A191" s="5" t="s">
        <v>244</v>
      </c>
      <c r="B191" s="5" t="s">
        <v>84</v>
      </c>
      <c r="C191" s="5" t="s">
        <v>17</v>
      </c>
      <c r="D191" s="8">
        <v>45727</v>
      </c>
      <c r="E191" s="5" t="s">
        <v>60</v>
      </c>
      <c r="F191" s="12">
        <v>1590.08</v>
      </c>
      <c r="G191" s="5" t="s">
        <v>18</v>
      </c>
      <c r="H191" s="5" t="s">
        <v>14</v>
      </c>
      <c r="I191" s="5"/>
    </row>
    <row r="192" spans="1:9" x14ac:dyDescent="0.2">
      <c r="A192" s="5" t="s">
        <v>245</v>
      </c>
      <c r="B192" s="5" t="s">
        <v>74</v>
      </c>
      <c r="C192" s="5" t="s">
        <v>42</v>
      </c>
      <c r="D192" s="8">
        <v>45702</v>
      </c>
      <c r="E192" s="5" t="s">
        <v>49</v>
      </c>
      <c r="F192" s="12"/>
      <c r="G192" s="5" t="s">
        <v>39</v>
      </c>
      <c r="H192" s="5" t="s">
        <v>19</v>
      </c>
      <c r="I192" s="5"/>
    </row>
    <row r="193" spans="1:9" x14ac:dyDescent="0.2">
      <c r="A193" s="5" t="s">
        <v>246</v>
      </c>
      <c r="B193" s="5" t="s">
        <v>90</v>
      </c>
      <c r="C193" s="5" t="s">
        <v>22</v>
      </c>
      <c r="D193" s="8">
        <v>45675</v>
      </c>
      <c r="E193" s="5" t="s">
        <v>30</v>
      </c>
      <c r="F193" s="12">
        <v>1478.38</v>
      </c>
      <c r="G193" s="5" t="s">
        <v>34</v>
      </c>
      <c r="H193" s="5" t="s">
        <v>27</v>
      </c>
      <c r="I193" s="5" t="s">
        <v>35</v>
      </c>
    </row>
    <row r="194" spans="1:9" x14ac:dyDescent="0.2">
      <c r="A194" s="5" t="s">
        <v>247</v>
      </c>
      <c r="B194" s="5" t="s">
        <v>74</v>
      </c>
      <c r="C194" s="5" t="s">
        <v>11</v>
      </c>
      <c r="D194" s="8">
        <v>45708</v>
      </c>
      <c r="E194" s="5" t="s">
        <v>60</v>
      </c>
      <c r="F194" s="12">
        <v>950.07</v>
      </c>
      <c r="G194" s="5" t="s">
        <v>62</v>
      </c>
      <c r="H194" s="5" t="s">
        <v>19</v>
      </c>
      <c r="I194" s="5"/>
    </row>
    <row r="195" spans="1:9" x14ac:dyDescent="0.2">
      <c r="A195" s="5" t="s">
        <v>248</v>
      </c>
      <c r="B195" s="5" t="s">
        <v>76</v>
      </c>
      <c r="C195" s="5" t="s">
        <v>55</v>
      </c>
      <c r="D195" s="8">
        <v>45726</v>
      </c>
      <c r="E195" s="5" t="s">
        <v>60</v>
      </c>
      <c r="F195" s="12"/>
      <c r="G195" s="5" t="s">
        <v>39</v>
      </c>
      <c r="H195" s="5"/>
      <c r="I195" s="5"/>
    </row>
    <row r="196" spans="1:9" x14ac:dyDescent="0.2">
      <c r="A196" s="5" t="s">
        <v>249</v>
      </c>
      <c r="B196" s="5" t="s">
        <v>41</v>
      </c>
      <c r="C196" s="5" t="s">
        <v>42</v>
      </c>
      <c r="D196" s="8">
        <v>45744</v>
      </c>
      <c r="E196" s="5" t="s">
        <v>12</v>
      </c>
      <c r="F196" s="12">
        <v>1808.4</v>
      </c>
      <c r="G196" s="5" t="s">
        <v>62</v>
      </c>
      <c r="H196" s="5" t="s">
        <v>27</v>
      </c>
      <c r="I196" s="5"/>
    </row>
    <row r="197" spans="1:9" x14ac:dyDescent="0.2">
      <c r="A197" s="5" t="s">
        <v>250</v>
      </c>
      <c r="B197" s="5" t="s">
        <v>37</v>
      </c>
      <c r="C197" s="5" t="s">
        <v>38</v>
      </c>
      <c r="D197" s="8">
        <v>45662</v>
      </c>
      <c r="E197" s="5" t="s">
        <v>60</v>
      </c>
      <c r="F197" s="12">
        <v>1338.64</v>
      </c>
      <c r="G197" s="5" t="s">
        <v>39</v>
      </c>
      <c r="H197" s="5" t="s">
        <v>46</v>
      </c>
      <c r="I197" s="5" t="s">
        <v>35</v>
      </c>
    </row>
    <row r="198" spans="1:9" x14ac:dyDescent="0.2">
      <c r="A198" s="5" t="s">
        <v>251</v>
      </c>
      <c r="B198" s="5" t="s">
        <v>84</v>
      </c>
      <c r="C198" s="5" t="s">
        <v>42</v>
      </c>
      <c r="D198" s="8">
        <v>45738</v>
      </c>
      <c r="E198" s="5" t="s">
        <v>12</v>
      </c>
      <c r="F198" s="12">
        <v>417.27</v>
      </c>
      <c r="G198" s="5" t="s">
        <v>62</v>
      </c>
      <c r="H198" s="5" t="s">
        <v>31</v>
      </c>
      <c r="I198" s="5" t="s">
        <v>35</v>
      </c>
    </row>
    <row r="199" spans="1:9" x14ac:dyDescent="0.2">
      <c r="A199" s="5" t="s">
        <v>252</v>
      </c>
      <c r="B199" s="5" t="s">
        <v>90</v>
      </c>
      <c r="C199" s="5" t="s">
        <v>17</v>
      </c>
      <c r="D199" s="8">
        <v>45751</v>
      </c>
      <c r="E199" s="5" t="s">
        <v>49</v>
      </c>
      <c r="F199" s="12">
        <v>1019.03</v>
      </c>
      <c r="G199" s="5" t="s">
        <v>62</v>
      </c>
      <c r="H199" s="5" t="s">
        <v>46</v>
      </c>
      <c r="I199" s="5"/>
    </row>
    <row r="200" spans="1:9" x14ac:dyDescent="0.2">
      <c r="A200" s="5" t="s">
        <v>253</v>
      </c>
      <c r="B200" s="5" t="s">
        <v>59</v>
      </c>
      <c r="C200" s="5" t="s">
        <v>29</v>
      </c>
      <c r="D200" s="8">
        <v>45733</v>
      </c>
      <c r="E200" s="5" t="s">
        <v>30</v>
      </c>
      <c r="F200" s="12">
        <v>1906.9</v>
      </c>
      <c r="G200" s="5" t="s">
        <v>18</v>
      </c>
      <c r="H200" s="5" t="s">
        <v>31</v>
      </c>
      <c r="I200" s="5"/>
    </row>
    <row r="201" spans="1:9" x14ac:dyDescent="0.2">
      <c r="A201" s="5" t="s">
        <v>254</v>
      </c>
      <c r="B201" s="5" t="s">
        <v>10</v>
      </c>
      <c r="C201" s="5" t="s">
        <v>45</v>
      </c>
      <c r="D201" s="8">
        <v>45663</v>
      </c>
      <c r="E201" s="5" t="s">
        <v>30</v>
      </c>
      <c r="F201" s="12"/>
      <c r="G201" s="5" t="s">
        <v>13</v>
      </c>
      <c r="H201" s="5" t="s">
        <v>31</v>
      </c>
      <c r="I201" s="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6300-0E25-AF46-ADE4-68CA9A9076A3}">
  <dimension ref="A1:F55"/>
  <sheetViews>
    <sheetView topLeftCell="A3" zoomScale="82" zoomScaleNormal="100" workbookViewId="0">
      <selection activeCell="D20" sqref="D20:F29"/>
    </sheetView>
  </sheetViews>
  <sheetFormatPr baseColWidth="10" defaultRowHeight="16" x14ac:dyDescent="0.2"/>
  <cols>
    <col min="1" max="1" width="14.1640625" bestFit="1" customWidth="1"/>
    <col min="2" max="2" width="27.83203125" bestFit="1" customWidth="1"/>
    <col min="5" max="5" width="16.83203125" bestFit="1" customWidth="1"/>
    <col min="6" max="6" width="22.6640625" customWidth="1"/>
  </cols>
  <sheetData>
    <row r="1" spans="1:6" ht="29" x14ac:dyDescent="0.35">
      <c r="A1" s="28" t="s">
        <v>262</v>
      </c>
      <c r="B1" s="28"/>
      <c r="E1" s="29" t="s">
        <v>273</v>
      </c>
      <c r="F1" s="29"/>
    </row>
    <row r="3" spans="1:6" ht="32" x14ac:dyDescent="0.4">
      <c r="A3" s="19" t="s">
        <v>271</v>
      </c>
      <c r="B3" s="20" t="s">
        <v>261</v>
      </c>
      <c r="E3" s="15" t="s">
        <v>272</v>
      </c>
      <c r="F3" s="16" t="s">
        <v>261</v>
      </c>
    </row>
    <row r="4" spans="1:6" ht="32" x14ac:dyDescent="0.4">
      <c r="A4" s="21" t="s">
        <v>258</v>
      </c>
      <c r="B4" s="22">
        <v>75739.859999999986</v>
      </c>
      <c r="E4" s="17" t="s">
        <v>51</v>
      </c>
      <c r="F4" s="18">
        <v>17594.060000000001</v>
      </c>
    </row>
    <row r="5" spans="1:6" ht="32" x14ac:dyDescent="0.4">
      <c r="A5" s="21" t="s">
        <v>256</v>
      </c>
      <c r="B5" s="22">
        <v>48241.399999999987</v>
      </c>
      <c r="E5" s="17" t="s">
        <v>76</v>
      </c>
      <c r="F5" s="18">
        <v>16205.230000000001</v>
      </c>
    </row>
    <row r="6" spans="1:6" ht="32" x14ac:dyDescent="0.4">
      <c r="A6" s="21" t="s">
        <v>259</v>
      </c>
      <c r="B6" s="22">
        <v>36463.69</v>
      </c>
      <c r="E6" s="17" t="s">
        <v>10</v>
      </c>
      <c r="F6" s="18">
        <v>13452.06</v>
      </c>
    </row>
    <row r="7" spans="1:6" ht="32" x14ac:dyDescent="0.4">
      <c r="A7" s="21" t="s">
        <v>257</v>
      </c>
      <c r="B7" s="22">
        <v>25498.630000000008</v>
      </c>
      <c r="E7" s="17" t="s">
        <v>78</v>
      </c>
      <c r="F7" s="18">
        <v>13131.5</v>
      </c>
    </row>
    <row r="8" spans="1:6" ht="32" x14ac:dyDescent="0.4">
      <c r="A8" s="21" t="s">
        <v>260</v>
      </c>
      <c r="B8" s="22">
        <v>1510.91</v>
      </c>
      <c r="E8" s="17" t="s">
        <v>16</v>
      </c>
      <c r="F8" s="18">
        <v>12048.990000000002</v>
      </c>
    </row>
    <row r="9" spans="1:6" ht="32" x14ac:dyDescent="0.4">
      <c r="A9" s="17" t="s">
        <v>255</v>
      </c>
      <c r="B9" s="22">
        <v>187454.49</v>
      </c>
      <c r="E9" s="17" t="s">
        <v>68</v>
      </c>
      <c r="F9" s="18">
        <v>11540.51</v>
      </c>
    </row>
    <row r="10" spans="1:6" ht="22" x14ac:dyDescent="0.3">
      <c r="E10" s="17" t="s">
        <v>33</v>
      </c>
      <c r="F10" s="18">
        <v>11006.789999999997</v>
      </c>
    </row>
    <row r="11" spans="1:6" ht="22" x14ac:dyDescent="0.3">
      <c r="E11" s="17" t="s">
        <v>21</v>
      </c>
      <c r="F11" s="18">
        <v>10775.350000000002</v>
      </c>
    </row>
    <row r="12" spans="1:6" ht="22" x14ac:dyDescent="0.3">
      <c r="E12" s="17" t="s">
        <v>74</v>
      </c>
      <c r="F12" s="18">
        <v>10048.5</v>
      </c>
    </row>
    <row r="13" spans="1:6" ht="22" x14ac:dyDescent="0.3">
      <c r="E13" s="17" t="s">
        <v>48</v>
      </c>
      <c r="F13" s="18">
        <v>9460.2800000000007</v>
      </c>
    </row>
    <row r="14" spans="1:6" ht="22" x14ac:dyDescent="0.3">
      <c r="E14" s="17" t="s">
        <v>255</v>
      </c>
      <c r="F14" s="18">
        <v>125263.26999999999</v>
      </c>
    </row>
    <row r="15" spans="1:6" ht="22" x14ac:dyDescent="0.3"/>
    <row r="16" spans="1:6" ht="22" x14ac:dyDescent="0.3"/>
    <row r="18" spans="1:6" ht="29" x14ac:dyDescent="0.35">
      <c r="E18" s="28" t="s">
        <v>264</v>
      </c>
      <c r="F18" s="28"/>
    </row>
    <row r="20" spans="1:6" ht="27" x14ac:dyDescent="0.35">
      <c r="E20" s="24" t="s">
        <v>2</v>
      </c>
      <c r="F20" s="25" t="s">
        <v>261</v>
      </c>
    </row>
    <row r="21" spans="1:6" ht="27" x14ac:dyDescent="0.35">
      <c r="E21" s="26" t="s">
        <v>22</v>
      </c>
      <c r="F21" s="27">
        <v>28987.170000000002</v>
      </c>
    </row>
    <row r="22" spans="1:6" ht="27" x14ac:dyDescent="0.35">
      <c r="E22" s="26" t="s">
        <v>17</v>
      </c>
      <c r="F22" s="27">
        <v>28177.520000000004</v>
      </c>
    </row>
    <row r="23" spans="1:6" ht="27" x14ac:dyDescent="0.35">
      <c r="E23" s="26" t="s">
        <v>42</v>
      </c>
      <c r="F23" s="27">
        <v>27269.580000000005</v>
      </c>
    </row>
    <row r="24" spans="1:6" ht="27" x14ac:dyDescent="0.35">
      <c r="E24" s="26" t="s">
        <v>38</v>
      </c>
      <c r="F24" s="27">
        <v>26481.41</v>
      </c>
    </row>
    <row r="25" spans="1:6" ht="27" x14ac:dyDescent="0.35">
      <c r="E25" s="26" t="s">
        <v>11</v>
      </c>
      <c r="F25" s="27">
        <v>23112.870000000003</v>
      </c>
    </row>
    <row r="26" spans="1:6" ht="27" x14ac:dyDescent="0.35">
      <c r="E26" s="26" t="s">
        <v>29</v>
      </c>
      <c r="F26" s="27">
        <v>22282.300000000007</v>
      </c>
    </row>
    <row r="27" spans="1:6" ht="29" x14ac:dyDescent="0.35">
      <c r="A27" s="28" t="s">
        <v>263</v>
      </c>
      <c r="B27" s="28"/>
      <c r="E27" s="26" t="s">
        <v>55</v>
      </c>
      <c r="F27" s="27">
        <v>18043.190000000002</v>
      </c>
    </row>
    <row r="28" spans="1:6" ht="27" x14ac:dyDescent="0.35">
      <c r="E28" s="26" t="s">
        <v>45</v>
      </c>
      <c r="F28" s="27">
        <v>13100.45</v>
      </c>
    </row>
    <row r="29" spans="1:6" ht="27" x14ac:dyDescent="0.35">
      <c r="A29" s="24" t="s">
        <v>275</v>
      </c>
      <c r="B29" s="25" t="s">
        <v>261</v>
      </c>
      <c r="E29" s="26" t="s">
        <v>255</v>
      </c>
      <c r="F29" s="27">
        <v>187454.49000000005</v>
      </c>
    </row>
    <row r="30" spans="1:6" ht="27" x14ac:dyDescent="0.35">
      <c r="A30" s="26" t="s">
        <v>30</v>
      </c>
      <c r="B30" s="27">
        <v>41128.310000000005</v>
      </c>
    </row>
    <row r="31" spans="1:6" ht="27" x14ac:dyDescent="0.35">
      <c r="A31" s="26" t="s">
        <v>23</v>
      </c>
      <c r="B31" s="27">
        <v>38666.420000000006</v>
      </c>
    </row>
    <row r="32" spans="1:6" ht="27" x14ac:dyDescent="0.35">
      <c r="A32" s="26" t="s">
        <v>49</v>
      </c>
      <c r="B32" s="27">
        <v>37924.130000000005</v>
      </c>
    </row>
    <row r="33" spans="1:6" ht="27" x14ac:dyDescent="0.35">
      <c r="A33" s="26" t="s">
        <v>60</v>
      </c>
      <c r="B33" s="27">
        <v>35764.97</v>
      </c>
    </row>
    <row r="34" spans="1:6" ht="27" x14ac:dyDescent="0.35">
      <c r="A34" s="26" t="s">
        <v>12</v>
      </c>
      <c r="B34" s="27">
        <v>33970.659999999996</v>
      </c>
    </row>
    <row r="35" spans="1:6" ht="24" x14ac:dyDescent="0.3">
      <c r="A35" s="17" t="s">
        <v>255</v>
      </c>
      <c r="B35" s="23">
        <v>187454.49000000002</v>
      </c>
    </row>
    <row r="44" spans="1:6" ht="22" x14ac:dyDescent="0.3">
      <c r="E44" s="30" t="s">
        <v>265</v>
      </c>
      <c r="F44" s="30"/>
    </row>
    <row r="47" spans="1:6" ht="22" x14ac:dyDescent="0.3">
      <c r="E47" s="15" t="s">
        <v>274</v>
      </c>
      <c r="F47" s="16" t="s">
        <v>261</v>
      </c>
    </row>
    <row r="48" spans="1:6" ht="22" x14ac:dyDescent="0.3">
      <c r="E48" s="17" t="s">
        <v>52</v>
      </c>
      <c r="F48" s="18">
        <v>35870.030000000006</v>
      </c>
    </row>
    <row r="49" spans="5:6" ht="22" x14ac:dyDescent="0.3">
      <c r="E49" s="17" t="s">
        <v>46</v>
      </c>
      <c r="F49" s="18">
        <v>35769.340000000004</v>
      </c>
    </row>
    <row r="50" spans="5:6" ht="22" x14ac:dyDescent="0.3">
      <c r="E50" s="17" t="s">
        <v>31</v>
      </c>
      <c r="F50" s="18">
        <v>29322.580000000005</v>
      </c>
    </row>
    <row r="51" spans="5:6" ht="22" x14ac:dyDescent="0.3">
      <c r="E51" s="17" t="s">
        <v>19</v>
      </c>
      <c r="F51" s="18">
        <v>25141.77</v>
      </c>
    </row>
    <row r="52" spans="5:6" ht="22" x14ac:dyDescent="0.3">
      <c r="E52" s="17" t="s">
        <v>27</v>
      </c>
      <c r="F52" s="18">
        <v>20763.270000000004</v>
      </c>
    </row>
    <row r="53" spans="5:6" ht="22" x14ac:dyDescent="0.3">
      <c r="E53" s="17" t="s">
        <v>266</v>
      </c>
      <c r="F53" s="18">
        <v>20616.300000000003</v>
      </c>
    </row>
    <row r="54" spans="5:6" ht="22" x14ac:dyDescent="0.3">
      <c r="E54" s="17" t="s">
        <v>14</v>
      </c>
      <c r="F54" s="18">
        <v>19971.200000000004</v>
      </c>
    </row>
    <row r="55" spans="5:6" ht="22" x14ac:dyDescent="0.3">
      <c r="E55" s="17" t="s">
        <v>255</v>
      </c>
      <c r="F55" s="18">
        <v>187454.49</v>
      </c>
    </row>
  </sheetData>
  <mergeCells count="5">
    <mergeCell ref="E44:F44"/>
    <mergeCell ref="A1:B1"/>
    <mergeCell ref="E1:F1"/>
    <mergeCell ref="A27:B27"/>
    <mergeCell ref="E18:F18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6FBC-2CB5-5C4B-ABBD-17E724E14055}">
  <dimension ref="A1:L2"/>
  <sheetViews>
    <sheetView workbookViewId="0">
      <selection activeCell="D41" sqref="D41"/>
    </sheetView>
  </sheetViews>
  <sheetFormatPr baseColWidth="10" defaultRowHeight="16" x14ac:dyDescent="0.2"/>
  <cols>
    <col min="1" max="1" width="15.33203125" bestFit="1" customWidth="1"/>
    <col min="2" max="2" width="14.33203125" bestFit="1" customWidth="1"/>
    <col min="3" max="3" width="23.5" bestFit="1" customWidth="1"/>
    <col min="4" max="4" width="19" bestFit="1" customWidth="1"/>
  </cols>
  <sheetData>
    <row r="1" spans="1:12" ht="22" x14ac:dyDescent="0.3">
      <c r="A1" s="31" t="s">
        <v>267</v>
      </c>
      <c r="B1" s="31"/>
      <c r="C1" s="31"/>
      <c r="D1" s="31" t="s">
        <v>268</v>
      </c>
      <c r="E1" s="31"/>
      <c r="F1" s="31"/>
      <c r="G1" s="31" t="s">
        <v>269</v>
      </c>
      <c r="H1" s="31"/>
      <c r="I1" s="31"/>
      <c r="J1" s="31" t="s">
        <v>270</v>
      </c>
      <c r="K1" s="31"/>
      <c r="L1" s="31"/>
    </row>
    <row r="2" spans="1:12" s="14" customFormat="1" ht="22" x14ac:dyDescent="0.3">
      <c r="A2" s="32">
        <f>SUM('Cleaned Data'!F2:F201)</f>
        <v>187454.4899999999</v>
      </c>
      <c r="B2" s="32"/>
      <c r="C2" s="32"/>
      <c r="D2" s="33">
        <f>COUNTA('Cleaned Data'!A2:A201)</f>
        <v>200</v>
      </c>
      <c r="E2" s="33"/>
      <c r="F2" s="33"/>
      <c r="G2" s="33">
        <f>A2/D2</f>
        <v>937.27244999999948</v>
      </c>
      <c r="H2" s="33"/>
      <c r="I2" s="33"/>
      <c r="J2" s="33">
        <v>20</v>
      </c>
      <c r="K2" s="33"/>
      <c r="L2" s="33"/>
    </row>
  </sheetData>
  <mergeCells count="8">
    <mergeCell ref="J1:L1"/>
    <mergeCell ref="J2:L2"/>
    <mergeCell ref="A1:C1"/>
    <mergeCell ref="A2:C2"/>
    <mergeCell ref="D1:F1"/>
    <mergeCell ref="D2:F2"/>
    <mergeCell ref="G1:I1"/>
    <mergeCell ref="G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43F3-EEA6-B447-9EA2-0D692E8C3AF1}">
  <dimension ref="A2:L19"/>
  <sheetViews>
    <sheetView tabSelected="1" workbookViewId="0">
      <selection activeCell="G21" sqref="G21"/>
    </sheetView>
  </sheetViews>
  <sheetFormatPr baseColWidth="10" defaultRowHeight="16" x14ac:dyDescent="0.2"/>
  <sheetData>
    <row r="2" spans="1:12" x14ac:dyDescent="0.2">
      <c r="A2" s="35" t="s">
        <v>276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x14ac:dyDescent="0.2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2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 x14ac:dyDescent="0.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</sheetData>
  <mergeCells count="1">
    <mergeCell ref="A2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Pivot Tables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 Ustunkol</dc:creator>
  <cp:lastModifiedBy>Sait Ustunkol</cp:lastModifiedBy>
  <dcterms:created xsi:type="dcterms:W3CDTF">2026-04-01T19:41:11Z</dcterms:created>
  <dcterms:modified xsi:type="dcterms:W3CDTF">2026-04-01T20:45:49Z</dcterms:modified>
</cp:coreProperties>
</file>